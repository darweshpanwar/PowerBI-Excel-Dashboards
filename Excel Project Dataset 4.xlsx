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bookViews>
    <workbookView xWindow="-105" yWindow="-105" windowWidth="23250" windowHeight="12450" activeTab="3"/>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1" hidden="1">Dashboard!$A$1:$N$1001</definedName>
    <definedName name="Slicer_Education">#N/A</definedName>
    <definedName name="Slicer_Marital_Status">#N/A</definedName>
    <definedName name="Slicer_Region">#N/A</definedName>
  </definedNames>
  <calcPr calcId="145621"/>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<sst xmlns="http://schemas.openxmlformats.org/spreadsheetml/2006/main" count="16274" uniqueCount="52">
  <si>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</si>
  <si>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</si>
  <si>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</si>
  <si>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</si>
  <si>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</si>
  <si>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</si>
  <si>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</si>
  <si>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</si>
  <si>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</si>
  <si>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</si>
  <si>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</si>
  <si>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</si>
  <si>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</si>
  <si>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</si>
  <si>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</si>
  <si>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</si>
  <si>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</si>
  <si>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</si>
  <si>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</si>
  <si>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</si>
  <si>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</si>
  <si>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</si>
  <si>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</si>
  <si>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</si>
  <si>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</si>
  <si>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</si>
  <si>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</si>
  <si>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</si>
  <si>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</si>
  <si>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</si>
  <si>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</si>
  <si>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</si>
  <si>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</si>
  <si>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</si>
  <si>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</si>
  <si>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</si>
  <si>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</si>
  <si>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</si>
  <si>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</si>
  <si>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</si>
  <si>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</si>
  <si>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</si>
  <si>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</si>
  <si>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</si>
  <si>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</si>
  <si>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</si>
  <si>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</si>
  <si>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Invalide</t>
  </si>
  <si>
    <t>Middle Age</t>
  </si>
  <si>
    <t>Old</t>
  </si>
  <si>
    <t>Count of Purchased Bike2</t>
  </si>
  <si>
    <t>Bikes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</si>
</sst>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C00000"/>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Alignment="1">
      <alignment horizontal="left"/>
    </xf>
    <xf numFmtId="166" fontId="0" fillId="0" borderId="0" xfId="0" applyNumberFormat="1"/>
    <xf numFmtId="0" fontId="0" fillId="0" borderId="0" xfId="0" applyNumberFormat="1"/>
    <xf numFmtId="0" fontId="0" fillId="0" borderId="0" xfId="0" pivotButton="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image" Target="../media/image1.jpeg"/></Relationships>
</file>

<file path=xl/charts/_rels/chart5.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[Excel Project Dataset.xlsx]Pivot Table!PivotTable1</c:name>
    <c:fmtId val="0"/>
  </c:pivotSource>
  <c:chart>
    <c:title>
      <c:tx>
        <c:rich>
          <a:bodyPr/>
          <a:lstStyle/>
          <a:p>
            <a:pPr>
              <a:defRPr/>
            </a:pPr>
            <a:r>
              <a:rPr lang="en-US"/>
              <a:t>Avg</a:t>
            </a:r>
            <a:r>
              <a:rPr lang="en-US" baseline="0"/>
              <a:t> Income Per Purchase</a:t>
            </a:r>
            <a:endParaRPr lang="en-US"/>
          </a:p>
        </c:rich>
      </c:tx>
      <c:layout>
        <c:manualLayout>
          <c:xMode val="edge"/>
          <c:yMode val="edge"/>
          <c:x val="0.29583530665023838"/>
          <c:y val="1.0521963901283495E-2"/>
        </c:manualLayout>
      </c:layout>
      <c:overlay val="1"/>
    </c:title>
    <c:autoTitleDeleted val="0"/>
    <c:pivotFmts>
      <c:pivotFmt>
        <c:idx val="0"/>
        <c:dLbl>
          <c:idx val="0"/>
          <c:delete val="1"/>
        </c:dLbl>
      </c:pivotFmt>
      <c:pivotFmt>
        <c:idx val="1"/>
        <c:dLbl>
          <c:idx val="0"/>
          <c:delete val="1"/>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66428.571428571435</c:v>
                </c:pt>
                <c:pt idx="1">
                  <c:v>75384.61538461539</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66000</c:v>
                </c:pt>
                <c:pt idx="1">
                  <c:v>70625</c:v>
                </c:pt>
              </c:numCache>
            </c:numRef>
          </c:val>
        </c:ser>
        <c:dLbls>
          <c:showLegendKey val="0"/>
          <c:showVal val="0"/>
          <c:showCatName val="0"/>
          <c:showSerName val="0"/>
          <c:showPercent val="0"/>
          <c:showBubbleSize val="0"/>
        </c:dLbls>
        <c:gapWidth val="150"/>
        <c:axId val="181135360"/>
        <c:axId val="183387840"/>
      </c:barChart>
      <c:catAx>
        <c:axId val="181135360"/>
        <c:scaling>
          <c:orientation val="minMax"/>
        </c:scaling>
        <c:delete val="0"/>
        <c:axPos val="b"/>
        <c:majorTickMark val="out"/>
        <c:minorTickMark val="none"/>
        <c:tickLblPos val="nextTo"/>
        <c:crossAx val="183387840"/>
        <c:crosses val="autoZero"/>
        <c:auto val="1"/>
        <c:lblAlgn val="ctr"/>
        <c:lblOffset val="100"/>
        <c:noMultiLvlLbl val="0"/>
      </c:catAx>
      <c:valAx>
        <c:axId val="183387840"/>
        <c:scaling>
          <c:orientation val="minMax"/>
        </c:scaling>
        <c:delete val="0"/>
        <c:axPos val="l"/>
        <c:majorGridlines/>
        <c:numFmt formatCode="General" sourceLinked="1"/>
        <c:majorTickMark val="out"/>
        <c:minorTickMark val="none"/>
        <c:tickLblPos val="nextTo"/>
        <c:crossAx val="181135360"/>
        <c:crosses val="autoZero"/>
        <c:crossBetween val="between"/>
      </c:valAx>
      <c:dTable>
        <c:showHorzBorder val="1"/>
        <c:showVertBorder val="1"/>
        <c:showOutline val="1"/>
        <c:showKeys val="0"/>
      </c:dTable>
    </c:plotArea>
    <c:legend>
      <c:legendPos val="r"/>
      <c:layout/>
      <c:overlay val="0"/>
    </c:legend>
    <c:plotVisOnly val="1"/>
    <c:dispBlanksAs val="gap"/>
    <c:showDLblsOverMax val="0"/>
  </c:chart>
  <c:spPr>
    <a:blipFill>
      <a:blip xmlns:r="http://schemas.openxmlformats.org/officeDocument/2006/relationships" r:embed="rId1"/>
      <a:tile tx="0" ty="0" sx="100000" sy="100000" flip="none" algn="tl"/>
    </a:blip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a:lstStyle/>
          <a:p>
            <a:pPr>
              <a:defRPr/>
            </a:pPr>
            <a:r>
              <a:rPr lang="en-US"/>
              <a:t>Customer</a:t>
            </a:r>
            <a:r>
              <a:rPr lang="en-US" baseline="0"/>
              <a:t> Commute</a:t>
            </a:r>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Table'!$B$23:$B$24</c:f>
              <c:strCache>
                <c:ptCount val="1"/>
                <c:pt idx="0">
                  <c:v>No</c:v>
                </c:pt>
              </c:strCache>
            </c:strRef>
          </c:tx>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18</c:v>
                </c:pt>
                <c:pt idx="1">
                  <c:v>7</c:v>
                </c:pt>
                <c:pt idx="2">
                  <c:v>4</c:v>
                </c:pt>
                <c:pt idx="3">
                  <c:v>7</c:v>
                </c:pt>
                <c:pt idx="4">
                  <c:v>4</c:v>
                </c:pt>
              </c:numCache>
            </c:numRef>
          </c:val>
          <c:smooth val="0"/>
        </c:ser>
        <c:ser>
          <c:idx val="1"/>
          <c:order val="1"/>
          <c:tx>
            <c:strRef>
              <c:f>'Pivot Table'!$C$23:$C$24</c:f>
              <c:strCache>
                <c:ptCount val="1"/>
                <c:pt idx="0">
                  <c:v>Yes</c:v>
                </c:pt>
              </c:strCache>
            </c:strRef>
          </c:tx>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13</c:v>
                </c:pt>
                <c:pt idx="1">
                  <c:v>5</c:v>
                </c:pt>
                <c:pt idx="2">
                  <c:v>12</c:v>
                </c:pt>
                <c:pt idx="3">
                  <c:v>1</c:v>
                </c:pt>
              </c:numCache>
            </c:numRef>
          </c:val>
          <c:smooth val="0"/>
        </c:ser>
        <c:dLbls>
          <c:showLegendKey val="0"/>
          <c:showVal val="0"/>
          <c:showCatName val="0"/>
          <c:showSerName val="0"/>
          <c:showPercent val="0"/>
          <c:showBubbleSize val="0"/>
        </c:dLbls>
        <c:marker val="1"/>
        <c:smooth val="0"/>
        <c:axId val="221793792"/>
        <c:axId val="232240192"/>
      </c:lineChart>
      <c:catAx>
        <c:axId val="221793792"/>
        <c:scaling>
          <c:orientation val="minMax"/>
        </c:scaling>
        <c:delete val="0"/>
        <c:axPos val="b"/>
        <c:title>
          <c:tx>
            <c:rich>
              <a:bodyPr/>
              <a:lstStyle/>
              <a:p>
                <a:pPr>
                  <a:defRPr/>
                </a:pPr>
                <a:r>
                  <a:rPr lang="en-US" sz="1400"/>
                  <a:t>Commute</a:t>
                </a:r>
                <a:r>
                  <a:rPr lang="en-US" sz="1400" baseline="0"/>
                  <a:t> Distance</a:t>
                </a:r>
                <a:endParaRPr lang="en-US" sz="1400"/>
              </a:p>
            </c:rich>
          </c:tx>
          <c:layout/>
          <c:overlay val="0"/>
        </c:title>
        <c:majorTickMark val="out"/>
        <c:minorTickMark val="none"/>
        <c:tickLblPos val="nextTo"/>
        <c:crossAx val="232240192"/>
        <c:crosses val="autoZero"/>
        <c:auto val="1"/>
        <c:lblAlgn val="ctr"/>
        <c:lblOffset val="100"/>
        <c:noMultiLvlLbl val="0"/>
      </c:catAx>
      <c:valAx>
        <c:axId val="232240192"/>
        <c:scaling>
          <c:orientation val="minMax"/>
        </c:scaling>
        <c:delete val="0"/>
        <c:axPos val="l"/>
        <c:majorGridlines/>
        <c:numFmt formatCode="General" sourceLinked="1"/>
        <c:majorTickMark val="out"/>
        <c:minorTickMark val="none"/>
        <c:tickLblPos val="nextTo"/>
        <c:crossAx val="2217937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a:lstStyle/>
          <a:p>
            <a:pPr>
              <a:defRPr/>
            </a:pPr>
            <a:r>
              <a:rPr lang="en-US" sz="1600" b="0" i="1"/>
              <a:t>Customer</a:t>
            </a:r>
            <a:r>
              <a:rPr lang="en-US" sz="1600" b="0" i="1" baseline="0"/>
              <a:t> Age Brackets</a:t>
            </a:r>
            <a:endParaRPr lang="en-US" sz="1600" b="0" i="1"/>
          </a:p>
        </c:rich>
      </c:tx>
      <c:layout>
        <c:manualLayout>
          <c:xMode val="edge"/>
          <c:yMode val="edge"/>
          <c:x val="0.25351377952755905"/>
          <c:y val="9.6201516477107021E-2"/>
        </c:manualLayout>
      </c:layout>
      <c:overlay val="0"/>
    </c:title>
    <c:autoTitleDeleted val="0"/>
    <c:pivotFmts>
      <c:pivotFmt>
        <c:idx val="0"/>
      </c:pivotFmt>
      <c:pivotFmt>
        <c:idx val="1"/>
      </c:pivotFmt>
    </c:pivotFmts>
    <c:plotArea>
      <c:layout/>
      <c:lineChart>
        <c:grouping val="standard"/>
        <c:varyColors val="0"/>
        <c:ser>
          <c:idx val="0"/>
          <c:order val="0"/>
          <c:tx>
            <c:strRef>
              <c:f>'Pivot Table'!$B$50:$B$51</c:f>
              <c:strCache>
                <c:ptCount val="1"/>
                <c:pt idx="0">
                  <c:v>No</c:v>
                </c:pt>
              </c:strCache>
            </c:strRef>
          </c:tx>
          <c:cat>
            <c:strRef>
              <c:f>'Pivot Table'!$A$52:$A$55</c:f>
              <c:strCache>
                <c:ptCount val="3"/>
                <c:pt idx="0">
                  <c:v>Invalide</c:v>
                </c:pt>
                <c:pt idx="1">
                  <c:v>Middle Age</c:v>
                </c:pt>
                <c:pt idx="2">
                  <c:v>Old</c:v>
                </c:pt>
              </c:strCache>
            </c:strRef>
          </c:cat>
          <c:val>
            <c:numRef>
              <c:f>'Pivot Table'!$B$52:$B$55</c:f>
              <c:numCache>
                <c:formatCode>General</c:formatCode>
                <c:ptCount val="3"/>
                <c:pt idx="0">
                  <c:v>2</c:v>
                </c:pt>
                <c:pt idx="1">
                  <c:v>23</c:v>
                </c:pt>
                <c:pt idx="2">
                  <c:v>15</c:v>
                </c:pt>
              </c:numCache>
            </c:numRef>
          </c:val>
          <c:smooth val="0"/>
        </c:ser>
        <c:ser>
          <c:idx val="1"/>
          <c:order val="1"/>
          <c:tx>
            <c:strRef>
              <c:f>'Pivot Table'!$C$50:$C$51</c:f>
              <c:strCache>
                <c:ptCount val="1"/>
                <c:pt idx="0">
                  <c:v>Yes</c:v>
                </c:pt>
              </c:strCache>
            </c:strRef>
          </c:tx>
          <c:cat>
            <c:strRef>
              <c:f>'Pivot Table'!$A$52:$A$55</c:f>
              <c:strCache>
                <c:ptCount val="3"/>
                <c:pt idx="0">
                  <c:v>Invalide</c:v>
                </c:pt>
                <c:pt idx="1">
                  <c:v>Middle Age</c:v>
                </c:pt>
                <c:pt idx="2">
                  <c:v>Old</c:v>
                </c:pt>
              </c:strCache>
            </c:strRef>
          </c:cat>
          <c:val>
            <c:numRef>
              <c:f>'Pivot Table'!$C$52:$C$55</c:f>
              <c:numCache>
                <c:formatCode>General</c:formatCode>
                <c:ptCount val="3"/>
                <c:pt idx="0">
                  <c:v>5</c:v>
                </c:pt>
                <c:pt idx="1">
                  <c:v>24</c:v>
                </c:pt>
                <c:pt idx="2">
                  <c:v>2</c:v>
                </c:pt>
              </c:numCache>
            </c:numRef>
          </c:val>
          <c:smooth val="0"/>
        </c:ser>
        <c:dLbls>
          <c:showLegendKey val="0"/>
          <c:showVal val="0"/>
          <c:showCatName val="0"/>
          <c:showSerName val="0"/>
          <c:showPercent val="0"/>
          <c:showBubbleSize val="0"/>
        </c:dLbls>
        <c:marker val="1"/>
        <c:smooth val="0"/>
        <c:axId val="229359104"/>
        <c:axId val="232285312"/>
      </c:lineChart>
      <c:catAx>
        <c:axId val="229359104"/>
        <c:scaling>
          <c:orientation val="minMax"/>
        </c:scaling>
        <c:delete val="0"/>
        <c:axPos val="b"/>
        <c:title>
          <c:tx>
            <c:rich>
              <a:bodyPr/>
              <a:lstStyle/>
              <a:p>
                <a:pPr>
                  <a:defRPr/>
                </a:pPr>
                <a:r>
                  <a:rPr lang="en-US"/>
                  <a:t>Age</a:t>
                </a:r>
                <a:r>
                  <a:rPr lang="en-US" baseline="0"/>
                  <a:t> Bracket</a:t>
                </a:r>
                <a:endParaRPr lang="en-US"/>
              </a:p>
            </c:rich>
          </c:tx>
          <c:layout>
            <c:manualLayout>
              <c:xMode val="edge"/>
              <c:yMode val="edge"/>
              <c:x val="0.38168153980752406"/>
              <c:y val="0.8565529308836396"/>
            </c:manualLayout>
          </c:layout>
          <c:overlay val="0"/>
        </c:title>
        <c:majorTickMark val="out"/>
        <c:minorTickMark val="none"/>
        <c:tickLblPos val="nextTo"/>
        <c:crossAx val="232285312"/>
        <c:crosses val="autoZero"/>
        <c:auto val="1"/>
        <c:lblAlgn val="ctr"/>
        <c:lblOffset val="100"/>
        <c:noMultiLvlLbl val="0"/>
      </c:catAx>
      <c:valAx>
        <c:axId val="232285312"/>
        <c:scaling>
          <c:orientation val="minMax"/>
        </c:scaling>
        <c:delete val="0"/>
        <c:axPos val="l"/>
        <c:majorGridlines/>
        <c:numFmt formatCode="General" sourceLinked="1"/>
        <c:majorTickMark val="out"/>
        <c:minorTickMark val="none"/>
        <c:tickLblPos val="nextTo"/>
        <c:crossAx val="229359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Table'!$B$79:$B$80</c:f>
              <c:strCache>
                <c:ptCount val="1"/>
                <c:pt idx="0">
                  <c:v>No</c:v>
                </c:pt>
              </c:strCache>
            </c:strRef>
          </c:tx>
          <c:marker>
            <c:symbol val="none"/>
          </c:marker>
          <c:cat>
            <c:strRef>
              <c:f>'Pivot Table'!$A$81:$A$129</c:f>
              <c:strCache>
                <c:ptCount val="48"/>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pt idx="40">
                  <c:v>66</c:v>
                </c:pt>
                <c:pt idx="41">
                  <c:v>67</c:v>
                </c:pt>
                <c:pt idx="42">
                  <c:v>68</c:v>
                </c:pt>
                <c:pt idx="43">
                  <c:v>69</c:v>
                </c:pt>
                <c:pt idx="44">
                  <c:v>70</c:v>
                </c:pt>
                <c:pt idx="45">
                  <c:v>71</c:v>
                </c:pt>
                <c:pt idx="46">
                  <c:v>72</c:v>
                </c:pt>
                <c:pt idx="47">
                  <c:v>73</c:v>
                </c:pt>
              </c:strCache>
            </c:strRef>
          </c:cat>
          <c:val>
            <c:numRef>
              <c:f>'Pivot Table'!$B$81:$B$129</c:f>
              <c:numCache>
                <c:formatCode>General</c:formatCode>
                <c:ptCount val="48"/>
                <c:pt idx="0">
                  <c:v>1</c:v>
                </c:pt>
                <c:pt idx="1">
                  <c:v>5</c:v>
                </c:pt>
                <c:pt idx="2">
                  <c:v>4</c:v>
                </c:pt>
                <c:pt idx="3">
                  <c:v>4</c:v>
                </c:pt>
                <c:pt idx="4">
                  <c:v>5</c:v>
                </c:pt>
                <c:pt idx="5">
                  <c:v>5</c:v>
                </c:pt>
                <c:pt idx="6">
                  <c:v>6</c:v>
                </c:pt>
                <c:pt idx="7">
                  <c:v>2</c:v>
                </c:pt>
                <c:pt idx="8">
                  <c:v>4</c:v>
                </c:pt>
                <c:pt idx="9">
                  <c:v>3</c:v>
                </c:pt>
                <c:pt idx="10">
                  <c:v>2</c:v>
                </c:pt>
                <c:pt idx="11">
                  <c:v>1</c:v>
                </c:pt>
                <c:pt idx="12">
                  <c:v>2</c:v>
                </c:pt>
                <c:pt idx="13">
                  <c:v>3</c:v>
                </c:pt>
                <c:pt idx="14">
                  <c:v>8</c:v>
                </c:pt>
                <c:pt idx="15">
                  <c:v>7</c:v>
                </c:pt>
                <c:pt idx="16">
                  <c:v>7</c:v>
                </c:pt>
                <c:pt idx="17">
                  <c:v>3</c:v>
                </c:pt>
                <c:pt idx="18">
                  <c:v>4</c:v>
                </c:pt>
                <c:pt idx="19">
                  <c:v>7</c:v>
                </c:pt>
                <c:pt idx="20">
                  <c:v>6</c:v>
                </c:pt>
                <c:pt idx="21">
                  <c:v>9</c:v>
                </c:pt>
                <c:pt idx="22">
                  <c:v>5</c:v>
                </c:pt>
                <c:pt idx="23">
                  <c:v>8</c:v>
                </c:pt>
                <c:pt idx="24">
                  <c:v>4</c:v>
                </c:pt>
                <c:pt idx="25">
                  <c:v>4</c:v>
                </c:pt>
                <c:pt idx="26">
                  <c:v>3</c:v>
                </c:pt>
                <c:pt idx="27">
                  <c:v>7</c:v>
                </c:pt>
                <c:pt idx="28">
                  <c:v>2</c:v>
                </c:pt>
                <c:pt idx="29">
                  <c:v>8</c:v>
                </c:pt>
                <c:pt idx="30">
                  <c:v>5</c:v>
                </c:pt>
                <c:pt idx="32">
                  <c:v>2</c:v>
                </c:pt>
                <c:pt idx="33">
                  <c:v>9</c:v>
                </c:pt>
                <c:pt idx="34">
                  <c:v>5</c:v>
                </c:pt>
                <c:pt idx="35">
                  <c:v>3</c:v>
                </c:pt>
                <c:pt idx="36">
                  <c:v>1</c:v>
                </c:pt>
                <c:pt idx="37">
                  <c:v>4</c:v>
                </c:pt>
                <c:pt idx="38">
                  <c:v>6</c:v>
                </c:pt>
                <c:pt idx="39">
                  <c:v>1</c:v>
                </c:pt>
                <c:pt idx="40">
                  <c:v>4</c:v>
                </c:pt>
                <c:pt idx="41">
                  <c:v>2</c:v>
                </c:pt>
                <c:pt idx="42">
                  <c:v>1</c:v>
                </c:pt>
                <c:pt idx="43">
                  <c:v>4</c:v>
                </c:pt>
                <c:pt idx="44">
                  <c:v>2</c:v>
                </c:pt>
                <c:pt idx="45">
                  <c:v>1</c:v>
                </c:pt>
                <c:pt idx="47">
                  <c:v>1</c:v>
                </c:pt>
              </c:numCache>
            </c:numRef>
          </c:val>
          <c:smooth val="0"/>
        </c:ser>
        <c:ser>
          <c:idx val="1"/>
          <c:order val="1"/>
          <c:tx>
            <c:strRef>
              <c:f>'Pivot Table'!$C$79:$C$80</c:f>
              <c:strCache>
                <c:ptCount val="1"/>
                <c:pt idx="0">
                  <c:v>Yes</c:v>
                </c:pt>
              </c:strCache>
            </c:strRef>
          </c:tx>
          <c:marker>
            <c:symbol val="none"/>
          </c:marker>
          <c:cat>
            <c:strRef>
              <c:f>'Pivot Table'!$A$81:$A$129</c:f>
              <c:strCache>
                <c:ptCount val="48"/>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pt idx="40">
                  <c:v>66</c:v>
                </c:pt>
                <c:pt idx="41">
                  <c:v>67</c:v>
                </c:pt>
                <c:pt idx="42">
                  <c:v>68</c:v>
                </c:pt>
                <c:pt idx="43">
                  <c:v>69</c:v>
                </c:pt>
                <c:pt idx="44">
                  <c:v>70</c:v>
                </c:pt>
                <c:pt idx="45">
                  <c:v>71</c:v>
                </c:pt>
                <c:pt idx="46">
                  <c:v>72</c:v>
                </c:pt>
                <c:pt idx="47">
                  <c:v>73</c:v>
                </c:pt>
              </c:strCache>
            </c:strRef>
          </c:cat>
          <c:val>
            <c:numRef>
              <c:f>'Pivot Table'!$C$81:$C$129</c:f>
              <c:numCache>
                <c:formatCode>General</c:formatCode>
                <c:ptCount val="48"/>
                <c:pt idx="1">
                  <c:v>2</c:v>
                </c:pt>
                <c:pt idx="2">
                  <c:v>3</c:v>
                </c:pt>
                <c:pt idx="6">
                  <c:v>3</c:v>
                </c:pt>
                <c:pt idx="7">
                  <c:v>3</c:v>
                </c:pt>
                <c:pt idx="8">
                  <c:v>9</c:v>
                </c:pt>
                <c:pt idx="9">
                  <c:v>7</c:v>
                </c:pt>
                <c:pt idx="10">
                  <c:v>6</c:v>
                </c:pt>
                <c:pt idx="11">
                  <c:v>2</c:v>
                </c:pt>
                <c:pt idx="12">
                  <c:v>2</c:v>
                </c:pt>
                <c:pt idx="13">
                  <c:v>1</c:v>
                </c:pt>
                <c:pt idx="14">
                  <c:v>2</c:v>
                </c:pt>
                <c:pt idx="15">
                  <c:v>1</c:v>
                </c:pt>
                <c:pt idx="16">
                  <c:v>3</c:v>
                </c:pt>
                <c:pt idx="17">
                  <c:v>3</c:v>
                </c:pt>
                <c:pt idx="18">
                  <c:v>6</c:v>
                </c:pt>
                <c:pt idx="19">
                  <c:v>6</c:v>
                </c:pt>
                <c:pt idx="20">
                  <c:v>3</c:v>
                </c:pt>
                <c:pt idx="21">
                  <c:v>4</c:v>
                </c:pt>
                <c:pt idx="22">
                  <c:v>9</c:v>
                </c:pt>
                <c:pt idx="23">
                  <c:v>5</c:v>
                </c:pt>
                <c:pt idx="24">
                  <c:v>2</c:v>
                </c:pt>
                <c:pt idx="25">
                  <c:v>3</c:v>
                </c:pt>
                <c:pt idx="26">
                  <c:v>3</c:v>
                </c:pt>
                <c:pt idx="27">
                  <c:v>3</c:v>
                </c:pt>
                <c:pt idx="28">
                  <c:v>3</c:v>
                </c:pt>
                <c:pt idx="29">
                  <c:v>1</c:v>
                </c:pt>
                <c:pt idx="30">
                  <c:v>1</c:v>
                </c:pt>
                <c:pt idx="31">
                  <c:v>4</c:v>
                </c:pt>
                <c:pt idx="33">
                  <c:v>1</c:v>
                </c:pt>
                <c:pt idx="35">
                  <c:v>1</c:v>
                </c:pt>
                <c:pt idx="37">
                  <c:v>1</c:v>
                </c:pt>
                <c:pt idx="38">
                  <c:v>1</c:v>
                </c:pt>
                <c:pt idx="40">
                  <c:v>1</c:v>
                </c:pt>
                <c:pt idx="46">
                  <c:v>1</c:v>
                </c:pt>
                <c:pt idx="47">
                  <c:v>1</c:v>
                </c:pt>
              </c:numCache>
            </c:numRef>
          </c:val>
          <c:smooth val="0"/>
        </c:ser>
        <c:dLbls>
          <c:showLegendKey val="0"/>
          <c:showVal val="0"/>
          <c:showCatName val="0"/>
          <c:showSerName val="0"/>
          <c:showPercent val="0"/>
          <c:showBubbleSize val="0"/>
        </c:dLbls>
        <c:marker val="1"/>
        <c:smooth val="0"/>
        <c:axId val="221792256"/>
        <c:axId val="232291072"/>
      </c:lineChart>
      <c:catAx>
        <c:axId val="221792256"/>
        <c:scaling>
          <c:orientation val="minMax"/>
        </c:scaling>
        <c:delete val="0"/>
        <c:axPos val="b"/>
        <c:majorTickMark val="out"/>
        <c:minorTickMark val="none"/>
        <c:tickLblPos val="nextTo"/>
        <c:crossAx val="232291072"/>
        <c:crosses val="autoZero"/>
        <c:auto val="1"/>
        <c:lblAlgn val="ctr"/>
        <c:lblOffset val="100"/>
        <c:noMultiLvlLbl val="0"/>
      </c:catAx>
      <c:valAx>
        <c:axId val="232291072"/>
        <c:scaling>
          <c:orientation val="minMax"/>
        </c:scaling>
        <c:delete val="0"/>
        <c:axPos val="l"/>
        <c:majorGridlines/>
        <c:numFmt formatCode="General" sourceLinked="1"/>
        <c:majorTickMark val="out"/>
        <c:minorTickMark val="none"/>
        <c:tickLblPos val="nextTo"/>
        <c:crossAx val="221792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[Excel Project Dataset.xlsx]Pivot Table!PivotTable1</c:name>
    <c:fmtId val="2"/>
  </c:pivotSource>
  <c:chart>
    <c:title>
      <c:tx>
        <c:rich>
          <a:bodyPr/>
          <a:lstStyle/>
          <a:p>
            <a:pPr>
              <a:defRPr/>
            </a:pPr>
            <a:r>
              <a:rPr lang="en-US"/>
              <a:t>Avg</a:t>
            </a:r>
            <a:r>
              <a:rPr lang="en-US" baseline="0"/>
              <a:t> Income Per Purchase</a:t>
            </a:r>
            <a:endParaRPr lang="en-US"/>
          </a:p>
        </c:rich>
      </c:tx>
      <c:layout>
        <c:manualLayout>
          <c:xMode val="edge"/>
          <c:yMode val="edge"/>
          <c:x val="0.29583530665023838"/>
          <c:y val="1.0521963901283495E-2"/>
        </c:manualLayout>
      </c:layout>
      <c:overlay val="1"/>
    </c:title>
    <c:autoTitleDeleted val="0"/>
    <c:pivotFmts>
      <c:pivotFmt>
        <c:idx val="0"/>
        <c:dLbl>
          <c:idx val="0"/>
          <c:delete val="1"/>
        </c:dLbl>
      </c:pivotFmt>
      <c:pivotFmt>
        <c:idx val="1"/>
        <c:dLbl>
          <c:idx val="0"/>
          <c:delete val="1"/>
        </c:dLbl>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66428.571428571435</c:v>
                </c:pt>
                <c:pt idx="1">
                  <c:v>75384.61538461539</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66000</c:v>
                </c:pt>
                <c:pt idx="1">
                  <c:v>70625</c:v>
                </c:pt>
              </c:numCache>
            </c:numRef>
          </c:val>
        </c:ser>
        <c:dLbls>
          <c:showLegendKey val="0"/>
          <c:showVal val="0"/>
          <c:showCatName val="0"/>
          <c:showSerName val="0"/>
          <c:showPercent val="0"/>
          <c:showBubbleSize val="0"/>
        </c:dLbls>
        <c:gapWidth val="150"/>
        <c:axId val="236850688"/>
        <c:axId val="232289344"/>
      </c:barChart>
      <c:catAx>
        <c:axId val="236850688"/>
        <c:scaling>
          <c:orientation val="minMax"/>
        </c:scaling>
        <c:delete val="0"/>
        <c:axPos val="b"/>
        <c:majorTickMark val="out"/>
        <c:minorTickMark val="none"/>
        <c:tickLblPos val="nextTo"/>
        <c:crossAx val="232289344"/>
        <c:crosses val="autoZero"/>
        <c:auto val="1"/>
        <c:lblAlgn val="ctr"/>
        <c:lblOffset val="100"/>
        <c:noMultiLvlLbl val="0"/>
      </c:catAx>
      <c:valAx>
        <c:axId val="232289344"/>
        <c:scaling>
          <c:orientation val="minMax"/>
        </c:scaling>
        <c:delete val="0"/>
        <c:axPos val="l"/>
        <c:majorGridlines/>
        <c:numFmt formatCode="General" sourceLinked="1"/>
        <c:majorTickMark val="out"/>
        <c:minorTickMark val="none"/>
        <c:tickLblPos val="nextTo"/>
        <c:crossAx val="236850688"/>
        <c:crosses val="autoZero"/>
        <c:crossBetween val="between"/>
      </c:valAx>
      <c:dTable>
        <c:showHorzBorder val="1"/>
        <c:showVertBorder val="1"/>
        <c:showOutline val="1"/>
        <c:showKeys val="0"/>
      </c:dTable>
    </c:plotArea>
    <c:legend>
      <c:legendPos val="r"/>
      <c:layout>
        <c:manualLayout>
          <c:xMode val="edge"/>
          <c:yMode val="edge"/>
          <c:x val="0.7232375979112271"/>
          <c:y val="0.35571730266909179"/>
          <c:w val="0.25587467362924282"/>
          <c:h val="0.30041677437537506"/>
        </c:manualLayout>
      </c:layout>
      <c:overlay val="0"/>
    </c:legend>
    <c:plotVisOnly val="1"/>
    <c:dispBlanksAs val="gap"/>
    <c:showDLblsOverMax val="0"/>
  </c:chart>
  <c:spPr>
    <a:blipFill>
      <a:blip xmlns:r="http://schemas.openxmlformats.org/officeDocument/2006/relationships" r:embed="rId1"/>
      <a:tile tx="0" ty="0" sx="100000" sy="100000" flip="none" algn="tl"/>
    </a:blip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Table'!$B$23:$B$24</c:f>
              <c:strCache>
                <c:ptCount val="1"/>
                <c:pt idx="0">
                  <c:v>No</c:v>
                </c:pt>
              </c:strCache>
            </c:strRef>
          </c:tx>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18</c:v>
                </c:pt>
                <c:pt idx="1">
                  <c:v>7</c:v>
                </c:pt>
                <c:pt idx="2">
                  <c:v>4</c:v>
                </c:pt>
                <c:pt idx="3">
                  <c:v>7</c:v>
                </c:pt>
                <c:pt idx="4">
                  <c:v>4</c:v>
                </c:pt>
              </c:numCache>
            </c:numRef>
          </c:val>
          <c:smooth val="0"/>
        </c:ser>
        <c:ser>
          <c:idx val="1"/>
          <c:order val="1"/>
          <c:tx>
            <c:strRef>
              <c:f>'Pivot Table'!$C$23:$C$24</c:f>
              <c:strCache>
                <c:ptCount val="1"/>
                <c:pt idx="0">
                  <c:v>Yes</c:v>
                </c:pt>
              </c:strCache>
            </c:strRef>
          </c:tx>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13</c:v>
                </c:pt>
                <c:pt idx="1">
                  <c:v>5</c:v>
                </c:pt>
                <c:pt idx="2">
                  <c:v>12</c:v>
                </c:pt>
                <c:pt idx="3">
                  <c:v>1</c:v>
                </c:pt>
              </c:numCache>
            </c:numRef>
          </c:val>
          <c:smooth val="0"/>
        </c:ser>
        <c:dLbls>
          <c:showLegendKey val="0"/>
          <c:showVal val="0"/>
          <c:showCatName val="0"/>
          <c:showSerName val="0"/>
          <c:showPercent val="0"/>
          <c:showBubbleSize val="0"/>
        </c:dLbls>
        <c:marker val="1"/>
        <c:smooth val="0"/>
        <c:axId val="238258176"/>
        <c:axId val="251726080"/>
      </c:lineChart>
      <c:catAx>
        <c:axId val="238258176"/>
        <c:scaling>
          <c:orientation val="minMax"/>
        </c:scaling>
        <c:delete val="0"/>
        <c:axPos val="b"/>
        <c:majorTickMark val="none"/>
        <c:minorTickMark val="none"/>
        <c:tickLblPos val="nextTo"/>
        <c:crossAx val="251726080"/>
        <c:crosses val="autoZero"/>
        <c:auto val="1"/>
        <c:lblAlgn val="ctr"/>
        <c:lblOffset val="100"/>
        <c:noMultiLvlLbl val="0"/>
      </c:catAx>
      <c:valAx>
        <c:axId val="251726080"/>
        <c:scaling>
          <c:orientation val="minMax"/>
        </c:scaling>
        <c:delete val="0"/>
        <c:axPos val="l"/>
        <c:majorGridlines/>
        <c:title>
          <c:layout/>
          <c:overlay val="0"/>
        </c:title>
        <c:numFmt formatCode="General" sourceLinked="1"/>
        <c:majorTickMark val="none"/>
        <c:minorTickMark val="none"/>
        <c:tickLblPos val="nextTo"/>
        <c:crossAx val="2382581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a:lstStyle/>
          <a:p>
            <a:pPr>
              <a:defRPr/>
            </a:pPr>
            <a:r>
              <a:rPr lang="en-US" sz="1600" b="0" i="1"/>
              <a:t>Customer</a:t>
            </a:r>
            <a:r>
              <a:rPr lang="en-US" sz="1600" b="0" i="1" baseline="0"/>
              <a:t> Age Brackets</a:t>
            </a:r>
            <a:endParaRPr lang="en-US" sz="1600" b="0" i="1"/>
          </a:p>
        </c:rich>
      </c:tx>
      <c:layout>
        <c:manualLayout>
          <c:xMode val="edge"/>
          <c:yMode val="edge"/>
          <c:x val="0.25351377952755905"/>
          <c:y val="9.6201516477107021E-2"/>
        </c:manualLayout>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Table'!$B$50:$B$51</c:f>
              <c:strCache>
                <c:ptCount val="1"/>
                <c:pt idx="0">
                  <c:v>No</c:v>
                </c:pt>
              </c:strCache>
            </c:strRef>
          </c:tx>
          <c:cat>
            <c:strRef>
              <c:f>'Pivot Table'!$A$52:$A$55</c:f>
              <c:strCache>
                <c:ptCount val="3"/>
                <c:pt idx="0">
                  <c:v>Invalide</c:v>
                </c:pt>
                <c:pt idx="1">
                  <c:v>Middle Age</c:v>
                </c:pt>
                <c:pt idx="2">
                  <c:v>Old</c:v>
                </c:pt>
              </c:strCache>
            </c:strRef>
          </c:cat>
          <c:val>
            <c:numRef>
              <c:f>'Pivot Table'!$B$52:$B$55</c:f>
              <c:numCache>
                <c:formatCode>General</c:formatCode>
                <c:ptCount val="3"/>
                <c:pt idx="0">
                  <c:v>2</c:v>
                </c:pt>
                <c:pt idx="1">
                  <c:v>23</c:v>
                </c:pt>
                <c:pt idx="2">
                  <c:v>15</c:v>
                </c:pt>
              </c:numCache>
            </c:numRef>
          </c:val>
          <c:smooth val="0"/>
        </c:ser>
        <c:ser>
          <c:idx val="1"/>
          <c:order val="1"/>
          <c:tx>
            <c:strRef>
              <c:f>'Pivot Table'!$C$50:$C$51</c:f>
              <c:strCache>
                <c:ptCount val="1"/>
                <c:pt idx="0">
                  <c:v>Yes</c:v>
                </c:pt>
              </c:strCache>
            </c:strRef>
          </c:tx>
          <c:cat>
            <c:strRef>
              <c:f>'Pivot Table'!$A$52:$A$55</c:f>
              <c:strCache>
                <c:ptCount val="3"/>
                <c:pt idx="0">
                  <c:v>Invalide</c:v>
                </c:pt>
                <c:pt idx="1">
                  <c:v>Middle Age</c:v>
                </c:pt>
                <c:pt idx="2">
                  <c:v>Old</c:v>
                </c:pt>
              </c:strCache>
            </c:strRef>
          </c:cat>
          <c:val>
            <c:numRef>
              <c:f>'Pivot Table'!$C$52:$C$55</c:f>
              <c:numCache>
                <c:formatCode>General</c:formatCode>
                <c:ptCount val="3"/>
                <c:pt idx="0">
                  <c:v>5</c:v>
                </c:pt>
                <c:pt idx="1">
                  <c:v>24</c:v>
                </c:pt>
                <c:pt idx="2">
                  <c:v>2</c:v>
                </c:pt>
              </c:numCache>
            </c:numRef>
          </c:val>
          <c:smooth val="0"/>
        </c:ser>
        <c:dLbls>
          <c:showLegendKey val="0"/>
          <c:showVal val="0"/>
          <c:showCatName val="0"/>
          <c:showSerName val="0"/>
          <c:showPercent val="0"/>
          <c:showBubbleSize val="0"/>
        </c:dLbls>
        <c:marker val="1"/>
        <c:smooth val="0"/>
        <c:axId val="238258688"/>
        <c:axId val="228340224"/>
      </c:lineChart>
      <c:catAx>
        <c:axId val="238258688"/>
        <c:scaling>
          <c:orientation val="minMax"/>
        </c:scaling>
        <c:delete val="0"/>
        <c:axPos val="b"/>
        <c:title>
          <c:tx>
            <c:rich>
              <a:bodyPr/>
              <a:lstStyle/>
              <a:p>
                <a:pPr>
                  <a:defRPr/>
                </a:pPr>
                <a:r>
                  <a:rPr lang="en-US"/>
                  <a:t>Age</a:t>
                </a:r>
                <a:r>
                  <a:rPr lang="en-US" baseline="0"/>
                  <a:t> Bracket</a:t>
                </a:r>
                <a:endParaRPr lang="en-US"/>
              </a:p>
            </c:rich>
          </c:tx>
          <c:layout>
            <c:manualLayout>
              <c:xMode val="edge"/>
              <c:yMode val="edge"/>
              <c:x val="0.38168153980752406"/>
              <c:y val="0.8565529308836396"/>
            </c:manualLayout>
          </c:layout>
          <c:overlay val="0"/>
        </c:title>
        <c:majorTickMark val="out"/>
        <c:minorTickMark val="none"/>
        <c:tickLblPos val="nextTo"/>
        <c:crossAx val="228340224"/>
        <c:crosses val="autoZero"/>
        <c:auto val="1"/>
        <c:lblAlgn val="ctr"/>
        <c:lblOffset val="100"/>
        <c:noMultiLvlLbl val="0"/>
      </c:catAx>
      <c:valAx>
        <c:axId val="228340224"/>
        <c:scaling>
          <c:orientation val="minMax"/>
        </c:scaling>
        <c:delete val="0"/>
        <c:axPos val="l"/>
        <c:majorGridlines/>
        <c:numFmt formatCode="General" sourceLinked="1"/>
        <c:majorTickMark val="out"/>
        <c:minorTickMark val="none"/>
        <c:tickLblPos val="nextTo"/>
        <c:crossAx val="2382586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9525</xdr:colOff>
      <xdr:row>7</xdr:row>
      <xdr:rowOff>90487</xdr:rowOff>
    </xdr:from>
    <xdr:to>
      <xdr:col>7</xdr:col>
      <xdr:colOff>476250</xdr:colOff>
      <xdr:row>18</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1028700</xdr:colOff>
      <xdr:row>31</xdr:row>
      <xdr:rowOff>80962</xdr:rowOff>
    </xdr:from>
    <xdr:to>
      <xdr:col>7</xdr:col>
      <xdr:colOff>133350</xdr:colOff>
      <xdr:row>45</xdr:row>
      <xdr:rowOff>157162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58</xdr:row>
      <xdr:rowOff>176212</xdr:rowOff>
    </xdr:from>
    <xdr:to>
      <xdr:col>5</xdr:col>
      <xdr:colOff>514350</xdr:colOff>
      <xdr:row>73</xdr:row>
      <xdr:rowOff>61912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619125</xdr:colOff>
      <xdr:row>78</xdr:row>
      <xdr:rowOff>90487</xdr:rowOff>
    </xdr:from>
    <xdr:to>
      <xdr:col>6</xdr:col>
      <xdr:colOff>1743075</xdr:colOff>
      <xdr:row>92</xdr:row>
      <xdr:rowOff>166687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4</xdr:row>
      <xdr:rowOff>28575</xdr:rowOff>
    </xdr:from>
    <xdr:to>
      <xdr:col>8</xdr:col>
      <xdr:colOff>371475</xdr:colOff>
      <xdr:row>15</xdr:row>
      <xdr:rowOff>76201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16</xdr:row>
      <xdr:rowOff>19050</xdr:rowOff>
    </xdr:from>
    <xdr:to>
      <xdr:col>14</xdr:col>
      <xdr:colOff>342900</xdr:colOff>
      <xdr:row>29</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485775</xdr:colOff>
      <xdr:row>4</xdr:row>
      <xdr:rowOff>0</xdr:rowOff>
    </xdr:from>
    <xdr:to>
      <xdr:col>14</xdr:col>
      <xdr:colOff>419100</xdr:colOff>
      <xdr:row>15</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171449</xdr:colOff>
      <xdr:row>4</xdr:row>
      <xdr:rowOff>123826</xdr:rowOff>
    </xdr:from>
    <xdr:to>
      <xdr:col>2</xdr:col>
      <xdr:colOff>238124</xdr:colOff>
      <xdr:row>11</xdr:row>
      <xdr:rowOff>47626</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71449" y="885826"/>
              <a:ext cx="12858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20</xdr:row>
      <xdr:rowOff>38101</xdr:rowOff>
    </xdr:from>
    <xdr:to>
      <xdr:col>2</xdr:col>
      <xdr:colOff>228599</xdr:colOff>
      <xdr:row>27</xdr:row>
      <xdr:rowOff>161925</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2874" y="3848101"/>
              <a:ext cx="1304925"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152401</xdr:rowOff>
    </xdr:from>
    <xdr:to>
      <xdr:col>2</xdr:col>
      <xdr:colOff>219075</xdr:colOff>
      <xdr:row>19</xdr:row>
      <xdr:rowOff>57151</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0" y="2247901"/>
              <a:ext cx="124777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37.912291666667" createdVersion="4" refreshedVersion="4" minRefreshableVersion="3" recordCount="1000">
  <cacheSource type="worksheet">
    <worksheetSource ref="A1:N1001" sheet="Dashboard"/>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Invalid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2"/>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2"/>
    <x v="0"/>
  </r>
  <r>
    <n v="26941"/>
    <x v="0"/>
    <x v="1"/>
    <n v="30000"/>
    <n v="0"/>
    <x v="0"/>
    <s v="Clerical"/>
    <s v="Yes"/>
    <n v="0"/>
    <x v="0"/>
    <x v="0"/>
    <x v="15"/>
    <x v="0"/>
    <x v="1"/>
  </r>
  <r>
    <n v="28412"/>
    <x v="1"/>
    <x v="1"/>
    <n v="20000"/>
    <n v="0"/>
    <x v="2"/>
    <s v="Manual"/>
    <s v="No"/>
    <n v="1"/>
    <x v="1"/>
    <x v="0"/>
    <x v="19"/>
    <x v="3"/>
    <x v="0"/>
  </r>
  <r>
    <n v="24485"/>
    <x v="1"/>
    <x v="1"/>
    <n v="40000"/>
    <n v="2"/>
    <x v="0"/>
    <s v="Management"/>
    <s v="No"/>
    <n v="1"/>
    <x v="2"/>
    <x v="1"/>
    <x v="31"/>
    <x v="1"/>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3"/>
    <x v="0"/>
  </r>
  <r>
    <n v="25458"/>
    <x v="0"/>
    <x v="1"/>
    <n v="20000"/>
    <n v="1"/>
    <x v="2"/>
    <s v="Manual"/>
    <s v="No"/>
    <n v="1"/>
    <x v="3"/>
    <x v="0"/>
    <x v="8"/>
    <x v="2"/>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2"/>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2"/>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2"/>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2"/>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1"/>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1"/>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2"/>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2"/>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3"/>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3"/>
    <x v="0"/>
  </r>
  <r>
    <n v="23908"/>
    <x v="1"/>
    <x v="1"/>
    <n v="30000"/>
    <n v="1"/>
    <x v="0"/>
    <s v="Clerical"/>
    <s v="No"/>
    <n v="1"/>
    <x v="0"/>
    <x v="0"/>
    <x v="32"/>
    <x v="0"/>
    <x v="1"/>
  </r>
  <r>
    <n v="22527"/>
    <x v="1"/>
    <x v="0"/>
    <n v="20000"/>
    <n v="0"/>
    <x v="2"/>
    <s v="Manual"/>
    <s v="No"/>
    <n v="1"/>
    <x v="1"/>
    <x v="0"/>
    <x v="19"/>
    <x v="0"/>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2"/>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3"/>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2"/>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2"/>
    <x v="1"/>
  </r>
  <r>
    <n v="23915"/>
    <x v="0"/>
    <x v="1"/>
    <n v="20000"/>
    <n v="2"/>
    <x v="2"/>
    <s v="Manual"/>
    <s v="Yes"/>
    <n v="2"/>
    <x v="0"/>
    <x v="0"/>
    <x v="0"/>
    <x v="2"/>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3"/>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2"/>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3"/>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2"/>
    <x v="0"/>
  </r>
  <r>
    <n v="11641"/>
    <x v="0"/>
    <x v="1"/>
    <n v="50000"/>
    <n v="1"/>
    <x v="0"/>
    <s v="Skilled Manual"/>
    <s v="Yes"/>
    <n v="0"/>
    <x v="0"/>
    <x v="2"/>
    <x v="4"/>
    <x v="0"/>
    <x v="0"/>
  </r>
  <r>
    <n v="11935"/>
    <x v="1"/>
    <x v="0"/>
    <n v="30000"/>
    <n v="0"/>
    <x v="1"/>
    <s v="Skilled Manual"/>
    <s v="Yes"/>
    <n v="1"/>
    <x v="2"/>
    <x v="2"/>
    <x v="26"/>
    <x v="3"/>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2"/>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2"/>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3"/>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2"/>
    <x v="1"/>
  </r>
  <r>
    <n v="18910"/>
    <x v="1"/>
    <x v="1"/>
    <n v="30000"/>
    <n v="0"/>
    <x v="1"/>
    <s v="Skilled Manual"/>
    <s v="Yes"/>
    <n v="2"/>
    <x v="2"/>
    <x v="2"/>
    <x v="25"/>
    <x v="3"/>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2"/>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2"/>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2"/>
    <x v="1"/>
  </r>
  <r>
    <n v="11225"/>
    <x v="0"/>
    <x v="0"/>
    <n v="60000"/>
    <n v="2"/>
    <x v="1"/>
    <s v="Professional"/>
    <s v="Yes"/>
    <n v="1"/>
    <x v="4"/>
    <x v="2"/>
    <x v="10"/>
    <x v="1"/>
    <x v="0"/>
  </r>
  <r>
    <n v="17657"/>
    <x v="0"/>
    <x v="1"/>
    <n v="40000"/>
    <n v="4"/>
    <x v="1"/>
    <s v="Clerical"/>
    <s v="No"/>
    <n v="0"/>
    <x v="0"/>
    <x v="2"/>
    <x v="25"/>
    <x v="3"/>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2"/>
    <x v="0"/>
  </r>
  <r>
    <n v="20076"/>
    <x v="1"/>
    <x v="0"/>
    <n v="10000"/>
    <n v="2"/>
    <x v="2"/>
    <s v="Manual"/>
    <s v="Yes"/>
    <n v="2"/>
    <x v="3"/>
    <x v="2"/>
    <x v="39"/>
    <x v="1"/>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2"/>
    <x v="1"/>
  </r>
  <r>
    <n v="11255"/>
    <x v="0"/>
    <x v="1"/>
    <n v="70000"/>
    <n v="4"/>
    <x v="4"/>
    <s v="Management"/>
    <s v="Yes"/>
    <n v="2"/>
    <x v="2"/>
    <x v="2"/>
    <x v="49"/>
    <x v="1"/>
    <x v="0"/>
  </r>
  <r>
    <n v="28090"/>
    <x v="0"/>
    <x v="1"/>
    <n v="40000"/>
    <n v="0"/>
    <x v="1"/>
    <s v="Skilled Manual"/>
    <s v="Yes"/>
    <n v="1"/>
    <x v="2"/>
    <x v="2"/>
    <x v="40"/>
    <x v="3"/>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2"/>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79:D129"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3"/>
        <item x="2"/>
        <item x="0"/>
        <item x="1"/>
        <item t="default"/>
      </items>
    </pivotField>
    <pivotField axis="axisCol" dataField="1" showAll="0">
      <items count="3">
        <item x="0"/>
        <item x="1"/>
        <item t="default"/>
      </items>
    </pivotField>
  </pivotFields>
  <rowFields count="1">
    <field x="11"/>
  </rowFields>
  <rowItems count="4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13"/>
  </colFields>
  <colItems count="3">
    <i>
      <x/>
    </i>
    <i>
      <x v="1"/>
    </i>
    <i t="grand">
      <x/>
    </i>
  </colItems>
  <dataFields count="1">
    <dataField name="Count of Purchased Bike2"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50:D55"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2"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3:D30"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958" zoomScale="55" zoomScaleNormal="55" workbookViewId="0">
      <selection sqref="A1:M1027"/>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ht="14.45" x14ac:dyDescent="0.3">
      <c r="A30">
        <v>18299</v>
      </c>
      <c r="B30" t="s">
        <v>34</v>
      </c>
      <c r="C30" t="s">
        <v>34</v>
      </c>
      <c r="D30" s="1">
        <v>70000</v>
      </c>
      <c r="E30">
        <v>5</v>
      </c>
      <c r="F30" t="s">
        <v>19</v>
      </c>
      <c r="G30" t="s">
        <v>14</v>
      </c>
      <c r="H30" t="s">
        <v>15</v>
      </c>
      <c r="I30">
        <v>2</v>
      </c>
      <c r="J30" t="s">
        <v>23</v>
      </c>
      <c r="K30" t="s">
        <v>24</v>
      </c>
      <c r="L30">
        <v>44</v>
      </c>
      <c r="M30" t="s">
        <v>18</v>
      </c>
    </row>
    <row r="31" spans="1:13" ht="14.45" x14ac:dyDescent="0.3">
      <c r="A31">
        <v>16466</v>
      </c>
      <c r="B31" t="s">
        <v>35</v>
      </c>
      <c r="C31" t="s">
        <v>33</v>
      </c>
      <c r="D31" s="1">
        <v>20000</v>
      </c>
      <c r="E31">
        <v>0</v>
      </c>
      <c r="F31" t="s">
        <v>29</v>
      </c>
      <c r="G31" t="s">
        <v>25</v>
      </c>
      <c r="H31" t="s">
        <v>18</v>
      </c>
      <c r="I31">
        <v>2</v>
      </c>
      <c r="J31" t="s">
        <v>16</v>
      </c>
      <c r="K31" t="s">
        <v>17</v>
      </c>
      <c r="L31">
        <v>32</v>
      </c>
      <c r="M31" t="s">
        <v>15</v>
      </c>
    </row>
    <row r="32" spans="1:13" ht="14.45" x14ac:dyDescent="0.3">
      <c r="A32">
        <v>19273</v>
      </c>
      <c r="B32" t="s">
        <v>34</v>
      </c>
      <c r="C32" t="s">
        <v>33</v>
      </c>
      <c r="D32" s="1">
        <v>20000</v>
      </c>
      <c r="E32">
        <v>2</v>
      </c>
      <c r="F32" t="s">
        <v>19</v>
      </c>
      <c r="G32" t="s">
        <v>25</v>
      </c>
      <c r="H32" t="s">
        <v>15</v>
      </c>
      <c r="I32">
        <v>0</v>
      </c>
      <c r="J32" t="s">
        <v>16</v>
      </c>
      <c r="K32" t="s">
        <v>17</v>
      </c>
      <c r="L32">
        <v>63</v>
      </c>
      <c r="M32" t="s">
        <v>18</v>
      </c>
    </row>
    <row r="33" spans="1:13" ht="14.45" x14ac:dyDescent="0.3">
      <c r="A33">
        <v>22400</v>
      </c>
      <c r="B33" t="s">
        <v>34</v>
      </c>
      <c r="C33" t="s">
        <v>34</v>
      </c>
      <c r="D33" s="1">
        <v>10000</v>
      </c>
      <c r="E33">
        <v>0</v>
      </c>
      <c r="F33" t="s">
        <v>19</v>
      </c>
      <c r="G33" t="s">
        <v>25</v>
      </c>
      <c r="H33" t="s">
        <v>18</v>
      </c>
      <c r="I33">
        <v>1</v>
      </c>
      <c r="J33" t="s">
        <v>16</v>
      </c>
      <c r="K33" t="s">
        <v>24</v>
      </c>
      <c r="L33">
        <v>26</v>
      </c>
      <c r="M33" t="s">
        <v>15</v>
      </c>
    </row>
    <row r="34" spans="1:13" ht="14.45" x14ac:dyDescent="0.3">
      <c r="A34">
        <v>20942</v>
      </c>
      <c r="B34" t="s">
        <v>35</v>
      </c>
      <c r="C34" t="s">
        <v>33</v>
      </c>
      <c r="D34" s="1">
        <v>20000</v>
      </c>
      <c r="E34">
        <v>0</v>
      </c>
      <c r="F34" t="s">
        <v>27</v>
      </c>
      <c r="G34" t="s">
        <v>25</v>
      </c>
      <c r="H34" t="s">
        <v>18</v>
      </c>
      <c r="I34">
        <v>1</v>
      </c>
      <c r="J34" t="s">
        <v>23</v>
      </c>
      <c r="K34" t="s">
        <v>17</v>
      </c>
      <c r="L34">
        <v>31</v>
      </c>
      <c r="M34" t="s">
        <v>18</v>
      </c>
    </row>
    <row r="35" spans="1:13" ht="14.45" x14ac:dyDescent="0.3">
      <c r="A35">
        <v>18484</v>
      </c>
      <c r="B35" t="s">
        <v>35</v>
      </c>
      <c r="C35" t="s">
        <v>34</v>
      </c>
      <c r="D35" s="1">
        <v>80000</v>
      </c>
      <c r="E35">
        <v>2</v>
      </c>
      <c r="F35" t="s">
        <v>27</v>
      </c>
      <c r="G35" t="s">
        <v>14</v>
      </c>
      <c r="H35" t="s">
        <v>18</v>
      </c>
      <c r="I35">
        <v>2</v>
      </c>
      <c r="J35" t="s">
        <v>26</v>
      </c>
      <c r="K35" t="s">
        <v>24</v>
      </c>
      <c r="L35">
        <v>50</v>
      </c>
      <c r="M35" t="s">
        <v>15</v>
      </c>
    </row>
    <row r="36" spans="1:13" ht="14.45" x14ac:dyDescent="0.3">
      <c r="A36">
        <v>12291</v>
      </c>
      <c r="B36" t="s">
        <v>35</v>
      </c>
      <c r="C36" t="s">
        <v>34</v>
      </c>
      <c r="D36" s="1">
        <v>90000</v>
      </c>
      <c r="E36">
        <v>5</v>
      </c>
      <c r="F36" t="s">
        <v>19</v>
      </c>
      <c r="G36" t="s">
        <v>21</v>
      </c>
      <c r="H36" t="s">
        <v>18</v>
      </c>
      <c r="I36">
        <v>2</v>
      </c>
      <c r="J36" t="s">
        <v>22</v>
      </c>
      <c r="K36" t="s">
        <v>17</v>
      </c>
      <c r="L36">
        <v>62</v>
      </c>
      <c r="M36" t="s">
        <v>15</v>
      </c>
    </row>
    <row r="37" spans="1:13" ht="14.45" x14ac:dyDescent="0.3">
      <c r="A37">
        <v>28380</v>
      </c>
      <c r="B37" t="s">
        <v>35</v>
      </c>
      <c r="C37" t="s">
        <v>33</v>
      </c>
      <c r="D37" s="1">
        <v>10000</v>
      </c>
      <c r="E37">
        <v>5</v>
      </c>
      <c r="F37" t="s">
        <v>29</v>
      </c>
      <c r="G37" t="s">
        <v>25</v>
      </c>
      <c r="H37" t="s">
        <v>18</v>
      </c>
      <c r="I37">
        <v>2</v>
      </c>
      <c r="J37" t="s">
        <v>16</v>
      </c>
      <c r="K37" t="s">
        <v>17</v>
      </c>
      <c r="L37">
        <v>41</v>
      </c>
      <c r="M37" t="s">
        <v>18</v>
      </c>
    </row>
    <row r="38" spans="1:13" ht="14.45" x14ac:dyDescent="0.3">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G964" workbookViewId="0">
      <selection activeCell="J964" sqref="J1:J1048576"/>
    </sheetView>
  </sheetViews>
  <sheetFormatPr defaultRowHeight="15" x14ac:dyDescent="0.25"/>
  <cols>
    <col min="1" max="1" width="11.28515625" customWidth="1"/>
    <col min="2" max="2" width="25.5703125" style="3" bestFit="1" customWidth="1"/>
    <col min="4" max="4" width="13.42578125" style="4" customWidth="1"/>
    <col min="5" max="5" width="13.5703125" customWidth="1"/>
    <col min="6" max="6" width="20" customWidth="1"/>
    <col min="7" max="7" width="20.140625" customWidth="1"/>
    <col min="8" max="8" width="15" bestFit="1" customWidth="1"/>
    <col min="9" max="9" width="7" bestFit="1" customWidth="1"/>
    <col min="10" max="10" width="20.28515625" bestFit="1" customWidth="1"/>
    <col min="11" max="11" width="13.28515625" customWidth="1"/>
    <col min="12" max="12" width="6.7109375" bestFit="1" customWidth="1"/>
    <col min="13" max="13" width="14.5703125" bestFit="1" customWidth="1"/>
    <col min="14" max="14" width="16.85546875" bestFit="1" customWidth="1"/>
  </cols>
  <sheetData>
    <row r="1" spans="1:14" x14ac:dyDescent="0.25">
      <c r="A1" t="s">
        <v>0</v>
      </c>
      <c r="B1" s="3" t="s">
        <v>1</v>
      </c>
      <c r="C1" t="s">
        <v>2</v>
      </c>
      <c r="D1" s="4" t="s">
        <v>3</v>
      </c>
      <c r="E1" t="s">
        <v>4</v>
      </c>
      <c r="F1" t="s">
        <v>5</v>
      </c>
      <c r="G1" t="s">
        <v>6</v>
      </c>
      <c r="H1" t="s">
        <v>7</v>
      </c>
      <c r="I1" t="s">
        <v>8</v>
      </c>
      <c r="J1" t="s">
        <v>9</v>
      </c>
      <c r="K1" t="s">
        <v>10</v>
      </c>
      <c r="L1" t="s">
        <v>11</v>
      </c>
      <c r="M1" t="s">
        <v>40</v>
      </c>
      <c r="N1" t="s">
        <v>12</v>
      </c>
    </row>
    <row r="2" spans="1:14" x14ac:dyDescent="0.25">
      <c r="A2">
        <v>12496</v>
      </c>
      <c r="B2" s="3" t="s">
        <v>36</v>
      </c>
      <c r="C2" t="s">
        <v>38</v>
      </c>
      <c r="D2" s="4">
        <v>40000</v>
      </c>
      <c r="E2">
        <v>1</v>
      </c>
      <c r="F2" t="s">
        <v>13</v>
      </c>
      <c r="G2" t="s">
        <v>14</v>
      </c>
      <c r="H2" t="s">
        <v>15</v>
      </c>
      <c r="I2">
        <v>0</v>
      </c>
      <c r="J2" t="s">
        <v>16</v>
      </c>
      <c r="K2" t="s">
        <v>17</v>
      </c>
      <c r="L2">
        <v>42</v>
      </c>
      <c r="M2" t="str">
        <f>IF(L2&gt;51,"Old",IF(L4&gt;=31,"Middle Age",IF(L2&lt;31,"Adolescent","Invalide")))</f>
        <v>Middle Age</v>
      </c>
      <c r="N2" t="s">
        <v>18</v>
      </c>
    </row>
    <row r="3" spans="1:14" x14ac:dyDescent="0.25">
      <c r="A3">
        <v>24107</v>
      </c>
      <c r="B3" s="3" t="s">
        <v>36</v>
      </c>
      <c r="C3" t="s">
        <v>39</v>
      </c>
      <c r="D3" s="4">
        <v>30000</v>
      </c>
      <c r="E3">
        <v>3</v>
      </c>
      <c r="F3" t="s">
        <v>19</v>
      </c>
      <c r="G3" t="s">
        <v>20</v>
      </c>
      <c r="H3" t="s">
        <v>15</v>
      </c>
      <c r="I3">
        <v>1</v>
      </c>
      <c r="J3" t="s">
        <v>16</v>
      </c>
      <c r="K3" t="s">
        <v>17</v>
      </c>
      <c r="L3">
        <v>43</v>
      </c>
      <c r="M3" t="str">
        <f t="shared" ref="M3:M66" si="0">IF(L3&gt;51,"Old",IF(L5&gt;=31,"Middle Age",IF(L3&lt;31,"Adolescent","Invalide")))</f>
        <v>Middle Age</v>
      </c>
      <c r="N3" t="s">
        <v>18</v>
      </c>
    </row>
    <row r="4" spans="1:14" x14ac:dyDescent="0.25">
      <c r="A4">
        <v>14177</v>
      </c>
      <c r="B4" s="3" t="s">
        <v>36</v>
      </c>
      <c r="C4" t="s">
        <v>39</v>
      </c>
      <c r="D4" s="4">
        <v>80000</v>
      </c>
      <c r="E4">
        <v>5</v>
      </c>
      <c r="F4" t="s">
        <v>19</v>
      </c>
      <c r="G4" t="s">
        <v>21</v>
      </c>
      <c r="H4" t="s">
        <v>18</v>
      </c>
      <c r="I4">
        <v>2</v>
      </c>
      <c r="J4" t="s">
        <v>22</v>
      </c>
      <c r="K4" t="s">
        <v>17</v>
      </c>
      <c r="L4">
        <v>60</v>
      </c>
      <c r="M4" t="str">
        <f t="shared" si="0"/>
        <v>Old</v>
      </c>
      <c r="N4" t="s">
        <v>18</v>
      </c>
    </row>
    <row r="5" spans="1:14" x14ac:dyDescent="0.25">
      <c r="A5">
        <v>24381</v>
      </c>
      <c r="B5" s="3" t="s">
        <v>37</v>
      </c>
      <c r="C5" t="s">
        <v>39</v>
      </c>
      <c r="D5" s="4">
        <v>70000</v>
      </c>
      <c r="E5">
        <v>0</v>
      </c>
      <c r="F5" t="s">
        <v>13</v>
      </c>
      <c r="G5" t="s">
        <v>21</v>
      </c>
      <c r="H5" t="s">
        <v>15</v>
      </c>
      <c r="I5">
        <v>1</v>
      </c>
      <c r="J5" t="s">
        <v>23</v>
      </c>
      <c r="K5" t="s">
        <v>24</v>
      </c>
      <c r="L5">
        <v>41</v>
      </c>
      <c r="M5" t="str">
        <f t="shared" si="0"/>
        <v>Middle Age</v>
      </c>
      <c r="N5" t="s">
        <v>15</v>
      </c>
    </row>
    <row r="6" spans="1:14" x14ac:dyDescent="0.25">
      <c r="A6">
        <v>25597</v>
      </c>
      <c r="B6" s="3" t="s">
        <v>37</v>
      </c>
      <c r="C6" t="s">
        <v>39</v>
      </c>
      <c r="D6" s="4">
        <v>30000</v>
      </c>
      <c r="E6">
        <v>0</v>
      </c>
      <c r="F6" t="s">
        <v>13</v>
      </c>
      <c r="G6" t="s">
        <v>20</v>
      </c>
      <c r="H6" t="s">
        <v>18</v>
      </c>
      <c r="I6">
        <v>0</v>
      </c>
      <c r="J6" t="s">
        <v>16</v>
      </c>
      <c r="K6" t="s">
        <v>17</v>
      </c>
      <c r="L6">
        <v>36</v>
      </c>
      <c r="M6" t="str">
        <f t="shared" si="0"/>
        <v>Middle Age</v>
      </c>
      <c r="N6" t="s">
        <v>15</v>
      </c>
    </row>
    <row r="7" spans="1:14" x14ac:dyDescent="0.25">
      <c r="A7">
        <v>13507</v>
      </c>
      <c r="B7" s="3" t="s">
        <v>36</v>
      </c>
      <c r="C7" t="s">
        <v>38</v>
      </c>
      <c r="D7" s="4">
        <v>10000</v>
      </c>
      <c r="E7">
        <v>2</v>
      </c>
      <c r="F7" t="s">
        <v>19</v>
      </c>
      <c r="G7" t="s">
        <v>25</v>
      </c>
      <c r="H7" t="s">
        <v>15</v>
      </c>
      <c r="I7">
        <v>0</v>
      </c>
      <c r="J7" t="s">
        <v>26</v>
      </c>
      <c r="K7" t="s">
        <v>17</v>
      </c>
      <c r="L7">
        <v>50</v>
      </c>
      <c r="M7" t="str">
        <f t="shared" si="0"/>
        <v>Middle Age</v>
      </c>
      <c r="N7" t="s">
        <v>18</v>
      </c>
    </row>
    <row r="8" spans="1:14" x14ac:dyDescent="0.25">
      <c r="A8">
        <v>27974</v>
      </c>
      <c r="B8" s="3" t="s">
        <v>37</v>
      </c>
      <c r="C8" t="s">
        <v>39</v>
      </c>
      <c r="D8" s="4">
        <v>160000</v>
      </c>
      <c r="E8">
        <v>2</v>
      </c>
      <c r="F8" t="s">
        <v>27</v>
      </c>
      <c r="G8" t="s">
        <v>28</v>
      </c>
      <c r="H8" t="s">
        <v>15</v>
      </c>
      <c r="I8">
        <v>4</v>
      </c>
      <c r="J8" t="s">
        <v>16</v>
      </c>
      <c r="K8" t="s">
        <v>24</v>
      </c>
      <c r="L8">
        <v>33</v>
      </c>
      <c r="M8" t="str">
        <f t="shared" si="0"/>
        <v>Middle Age</v>
      </c>
      <c r="N8" t="s">
        <v>15</v>
      </c>
    </row>
    <row r="9" spans="1:14" x14ac:dyDescent="0.25">
      <c r="A9">
        <v>19364</v>
      </c>
      <c r="B9" s="3" t="s">
        <v>36</v>
      </c>
      <c r="C9" t="s">
        <v>39</v>
      </c>
      <c r="D9" s="4">
        <v>40000</v>
      </c>
      <c r="E9">
        <v>1</v>
      </c>
      <c r="F9" t="s">
        <v>13</v>
      </c>
      <c r="G9" t="s">
        <v>14</v>
      </c>
      <c r="H9" t="s">
        <v>15</v>
      </c>
      <c r="I9">
        <v>0</v>
      </c>
      <c r="J9" t="s">
        <v>16</v>
      </c>
      <c r="K9" t="s">
        <v>17</v>
      </c>
      <c r="L9">
        <v>43</v>
      </c>
      <c r="M9" t="str">
        <f t="shared" si="0"/>
        <v>Middle Age</v>
      </c>
      <c r="N9" t="s">
        <v>15</v>
      </c>
    </row>
    <row r="10" spans="1:14" x14ac:dyDescent="0.25">
      <c r="A10">
        <v>22155</v>
      </c>
      <c r="B10" s="3"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s="3" t="s">
        <v>36</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s="3" t="s">
        <v>36</v>
      </c>
      <c r="C12" t="s">
        <v>38</v>
      </c>
      <c r="D12" s="4">
        <v>30000</v>
      </c>
      <c r="E12">
        <v>3</v>
      </c>
      <c r="F12" t="s">
        <v>27</v>
      </c>
      <c r="G12" t="s">
        <v>14</v>
      </c>
      <c r="H12" t="s">
        <v>18</v>
      </c>
      <c r="I12">
        <v>2</v>
      </c>
      <c r="J12" t="s">
        <v>26</v>
      </c>
      <c r="K12" t="s">
        <v>24</v>
      </c>
      <c r="L12">
        <v>54</v>
      </c>
      <c r="M12" t="str">
        <f t="shared" si="0"/>
        <v>Old</v>
      </c>
      <c r="N12" t="s">
        <v>15</v>
      </c>
    </row>
    <row r="13" spans="1:14" x14ac:dyDescent="0.25">
      <c r="A13">
        <v>12697</v>
      </c>
      <c r="B13" s="3" t="s">
        <v>37</v>
      </c>
      <c r="C13" t="s">
        <v>38</v>
      </c>
      <c r="D13" s="4">
        <v>90000</v>
      </c>
      <c r="E13">
        <v>0</v>
      </c>
      <c r="F13" t="s">
        <v>13</v>
      </c>
      <c r="G13" t="s">
        <v>21</v>
      </c>
      <c r="H13" t="s">
        <v>18</v>
      </c>
      <c r="I13">
        <v>4</v>
      </c>
      <c r="J13" t="s">
        <v>46</v>
      </c>
      <c r="K13" t="s">
        <v>24</v>
      </c>
      <c r="L13">
        <v>36</v>
      </c>
      <c r="M13" t="str">
        <f t="shared" si="0"/>
        <v>Middle Age</v>
      </c>
      <c r="N13" t="s">
        <v>18</v>
      </c>
    </row>
    <row r="14" spans="1:14" x14ac:dyDescent="0.25">
      <c r="A14">
        <v>11434</v>
      </c>
      <c r="B14" s="3" t="s">
        <v>36</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s="3" t="s">
        <v>36</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s="3" t="s">
        <v>37</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s="3" t="s">
        <v>37</v>
      </c>
      <c r="C17" t="s">
        <v>38</v>
      </c>
      <c r="D17" s="4">
        <v>10000</v>
      </c>
      <c r="E17">
        <v>2</v>
      </c>
      <c r="F17" t="s">
        <v>27</v>
      </c>
      <c r="G17" t="s">
        <v>25</v>
      </c>
      <c r="H17" t="s">
        <v>15</v>
      </c>
      <c r="I17">
        <v>1</v>
      </c>
      <c r="J17" t="s">
        <v>16</v>
      </c>
      <c r="K17" t="s">
        <v>17</v>
      </c>
      <c r="L17">
        <v>38</v>
      </c>
      <c r="M17" t="str">
        <f t="shared" si="0"/>
        <v>Middle Age</v>
      </c>
      <c r="N17" t="s">
        <v>15</v>
      </c>
    </row>
    <row r="18" spans="1:14" x14ac:dyDescent="0.25">
      <c r="A18">
        <v>23316</v>
      </c>
      <c r="B18" s="3"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s="3" t="s">
        <v>36</v>
      </c>
      <c r="C19" t="s">
        <v>38</v>
      </c>
      <c r="D19" s="4">
        <v>30000</v>
      </c>
      <c r="E19">
        <v>1</v>
      </c>
      <c r="F19" t="s">
        <v>13</v>
      </c>
      <c r="G19" t="s">
        <v>20</v>
      </c>
      <c r="H19" t="s">
        <v>15</v>
      </c>
      <c r="I19">
        <v>0</v>
      </c>
      <c r="J19" t="s">
        <v>16</v>
      </c>
      <c r="K19" t="s">
        <v>17</v>
      </c>
      <c r="L19">
        <v>47</v>
      </c>
      <c r="M19" t="str">
        <f t="shared" si="0"/>
        <v>Middle Age</v>
      </c>
      <c r="N19" t="s">
        <v>18</v>
      </c>
    </row>
    <row r="20" spans="1:14" x14ac:dyDescent="0.25">
      <c r="A20">
        <v>27183</v>
      </c>
      <c r="B20" s="3" t="s">
        <v>37</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s="3" t="s">
        <v>37</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s="3" t="s">
        <v>36</v>
      </c>
      <c r="C22" t="s">
        <v>38</v>
      </c>
      <c r="D22" s="4">
        <v>40000</v>
      </c>
      <c r="E22">
        <v>0</v>
      </c>
      <c r="F22" t="s">
        <v>31</v>
      </c>
      <c r="G22" t="s">
        <v>20</v>
      </c>
      <c r="H22" t="s">
        <v>15</v>
      </c>
      <c r="I22">
        <v>0</v>
      </c>
      <c r="J22" t="s">
        <v>16</v>
      </c>
      <c r="K22" t="s">
        <v>17</v>
      </c>
      <c r="L22">
        <v>36</v>
      </c>
      <c r="M22" t="str">
        <f t="shared" si="0"/>
        <v>Middle Age</v>
      </c>
      <c r="N22" t="s">
        <v>15</v>
      </c>
    </row>
    <row r="23" spans="1:14" x14ac:dyDescent="0.25">
      <c r="A23">
        <v>21564</v>
      </c>
      <c r="B23" s="3" t="s">
        <v>37</v>
      </c>
      <c r="C23" t="s">
        <v>38</v>
      </c>
      <c r="D23" s="4">
        <v>80000</v>
      </c>
      <c r="E23">
        <v>0</v>
      </c>
      <c r="F23" t="s">
        <v>13</v>
      </c>
      <c r="G23" t="s">
        <v>21</v>
      </c>
      <c r="H23" t="s">
        <v>15</v>
      </c>
      <c r="I23">
        <v>4</v>
      </c>
      <c r="J23" t="s">
        <v>46</v>
      </c>
      <c r="K23" t="s">
        <v>24</v>
      </c>
      <c r="L23">
        <v>35</v>
      </c>
      <c r="M23" t="str">
        <f t="shared" si="0"/>
        <v>Middle Age</v>
      </c>
      <c r="N23" t="s">
        <v>18</v>
      </c>
    </row>
    <row r="24" spans="1:14" x14ac:dyDescent="0.25">
      <c r="A24">
        <v>19193</v>
      </c>
      <c r="B24" s="3" t="s">
        <v>37</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s="3"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s="3" t="s">
        <v>37</v>
      </c>
      <c r="C26" t="s">
        <v>39</v>
      </c>
      <c r="D26" s="4">
        <v>40000</v>
      </c>
      <c r="E26">
        <v>2</v>
      </c>
      <c r="F26" t="s">
        <v>19</v>
      </c>
      <c r="G26" t="s">
        <v>20</v>
      </c>
      <c r="H26" t="s">
        <v>18</v>
      </c>
      <c r="I26">
        <v>1</v>
      </c>
      <c r="J26" t="s">
        <v>16</v>
      </c>
      <c r="K26" t="s">
        <v>17</v>
      </c>
      <c r="L26">
        <v>34</v>
      </c>
      <c r="M26" t="str">
        <f t="shared" si="0"/>
        <v>Invalide</v>
      </c>
      <c r="N26" t="s">
        <v>18</v>
      </c>
    </row>
    <row r="27" spans="1:14" x14ac:dyDescent="0.25">
      <c r="A27">
        <v>12590</v>
      </c>
      <c r="B27" s="3"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s="3" t="s">
        <v>37</v>
      </c>
      <c r="C28" t="s">
        <v>39</v>
      </c>
      <c r="D28" s="4">
        <v>30000</v>
      </c>
      <c r="E28">
        <v>0</v>
      </c>
      <c r="F28" t="s">
        <v>19</v>
      </c>
      <c r="G28" t="s">
        <v>20</v>
      </c>
      <c r="H28" t="s">
        <v>18</v>
      </c>
      <c r="I28">
        <v>1</v>
      </c>
      <c r="J28" t="s">
        <v>16</v>
      </c>
      <c r="K28" t="s">
        <v>17</v>
      </c>
      <c r="L28">
        <v>29</v>
      </c>
      <c r="M28" t="str">
        <f t="shared" si="0"/>
        <v>Middle Age</v>
      </c>
      <c r="N28" t="s">
        <v>15</v>
      </c>
    </row>
    <row r="29" spans="1:14" x14ac:dyDescent="0.25">
      <c r="A29">
        <v>18283</v>
      </c>
      <c r="B29" s="3" t="s">
        <v>37</v>
      </c>
      <c r="C29" t="s">
        <v>38</v>
      </c>
      <c r="D29" s="4">
        <v>100000</v>
      </c>
      <c r="E29">
        <v>0</v>
      </c>
      <c r="F29" t="s">
        <v>13</v>
      </c>
      <c r="G29" t="s">
        <v>21</v>
      </c>
      <c r="H29" t="s">
        <v>18</v>
      </c>
      <c r="I29">
        <v>1</v>
      </c>
      <c r="J29" t="s">
        <v>23</v>
      </c>
      <c r="K29" t="s">
        <v>24</v>
      </c>
      <c r="L29">
        <v>40</v>
      </c>
      <c r="M29" t="str">
        <f t="shared" si="0"/>
        <v>Middle Age</v>
      </c>
      <c r="N29" t="s">
        <v>18</v>
      </c>
    </row>
    <row r="30" spans="1:14" x14ac:dyDescent="0.25">
      <c r="A30">
        <v>18299</v>
      </c>
      <c r="B30" s="3" t="s">
        <v>36</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s="3" t="s">
        <v>37</v>
      </c>
      <c r="C31" t="s">
        <v>38</v>
      </c>
      <c r="D31" s="4">
        <v>20000</v>
      </c>
      <c r="E31">
        <v>0</v>
      </c>
      <c r="F31" t="s">
        <v>29</v>
      </c>
      <c r="G31" t="s">
        <v>25</v>
      </c>
      <c r="H31" t="s">
        <v>18</v>
      </c>
      <c r="I31">
        <v>2</v>
      </c>
      <c r="J31" t="s">
        <v>16</v>
      </c>
      <c r="K31" t="s">
        <v>17</v>
      </c>
      <c r="L31">
        <v>32</v>
      </c>
      <c r="M31" t="str">
        <f t="shared" si="0"/>
        <v>Invalide</v>
      </c>
      <c r="N31" t="s">
        <v>15</v>
      </c>
    </row>
    <row r="32" spans="1:14" x14ac:dyDescent="0.25">
      <c r="A32">
        <v>19273</v>
      </c>
      <c r="B32" s="3"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s="3" t="s">
        <v>36</v>
      </c>
      <c r="C33" t="s">
        <v>39</v>
      </c>
      <c r="D33" s="4">
        <v>10000</v>
      </c>
      <c r="E33">
        <v>0</v>
      </c>
      <c r="F33" t="s">
        <v>19</v>
      </c>
      <c r="G33" t="s">
        <v>25</v>
      </c>
      <c r="H33" t="s">
        <v>18</v>
      </c>
      <c r="I33">
        <v>1</v>
      </c>
      <c r="J33" t="s">
        <v>16</v>
      </c>
      <c r="K33" t="s">
        <v>24</v>
      </c>
      <c r="L33">
        <v>26</v>
      </c>
      <c r="M33" t="str">
        <f t="shared" si="0"/>
        <v>Middle Age</v>
      </c>
      <c r="N33" t="s">
        <v>15</v>
      </c>
    </row>
    <row r="34" spans="1:14" x14ac:dyDescent="0.25">
      <c r="A34">
        <v>20942</v>
      </c>
      <c r="B34" s="3" t="s">
        <v>37</v>
      </c>
      <c r="C34" t="s">
        <v>38</v>
      </c>
      <c r="D34" s="4">
        <v>20000</v>
      </c>
      <c r="E34">
        <v>0</v>
      </c>
      <c r="F34" t="s">
        <v>27</v>
      </c>
      <c r="G34" t="s">
        <v>25</v>
      </c>
      <c r="H34" t="s">
        <v>18</v>
      </c>
      <c r="I34">
        <v>1</v>
      </c>
      <c r="J34" t="s">
        <v>23</v>
      </c>
      <c r="K34" t="s">
        <v>17</v>
      </c>
      <c r="L34">
        <v>31</v>
      </c>
      <c r="M34" t="str">
        <f t="shared" si="0"/>
        <v>Middle Age</v>
      </c>
      <c r="N34" t="s">
        <v>18</v>
      </c>
    </row>
    <row r="35" spans="1:14" x14ac:dyDescent="0.25">
      <c r="A35">
        <v>18484</v>
      </c>
      <c r="B35" s="3" t="s">
        <v>37</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s="3"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s="3" t="s">
        <v>37</v>
      </c>
      <c r="C37" t="s">
        <v>38</v>
      </c>
      <c r="D37" s="4">
        <v>10000</v>
      </c>
      <c r="E37">
        <v>5</v>
      </c>
      <c r="F37" t="s">
        <v>29</v>
      </c>
      <c r="G37" t="s">
        <v>25</v>
      </c>
      <c r="H37" t="s">
        <v>18</v>
      </c>
      <c r="I37">
        <v>2</v>
      </c>
      <c r="J37" t="s">
        <v>16</v>
      </c>
      <c r="K37" t="s">
        <v>17</v>
      </c>
      <c r="L37">
        <v>41</v>
      </c>
      <c r="M37" t="str">
        <f t="shared" si="0"/>
        <v>Invalide</v>
      </c>
      <c r="N37" t="s">
        <v>18</v>
      </c>
    </row>
    <row r="38" spans="1:14" x14ac:dyDescent="0.25">
      <c r="A38">
        <v>17891</v>
      </c>
      <c r="B38" s="3" t="s">
        <v>36</v>
      </c>
      <c r="C38" t="s">
        <v>38</v>
      </c>
      <c r="D38" s="4">
        <v>10000</v>
      </c>
      <c r="E38">
        <v>2</v>
      </c>
      <c r="F38" t="s">
        <v>19</v>
      </c>
      <c r="G38" t="s">
        <v>25</v>
      </c>
      <c r="H38" t="s">
        <v>15</v>
      </c>
      <c r="I38">
        <v>1</v>
      </c>
      <c r="J38" t="s">
        <v>16</v>
      </c>
      <c r="K38" t="s">
        <v>17</v>
      </c>
      <c r="L38">
        <v>50</v>
      </c>
      <c r="M38" t="str">
        <f t="shared" si="0"/>
        <v>Invalide</v>
      </c>
      <c r="N38" t="s">
        <v>15</v>
      </c>
    </row>
    <row r="39" spans="1:14" x14ac:dyDescent="0.25">
      <c r="A39">
        <v>27832</v>
      </c>
      <c r="B39" s="3" t="s">
        <v>37</v>
      </c>
      <c r="C39" t="s">
        <v>38</v>
      </c>
      <c r="D39" s="4">
        <v>30000</v>
      </c>
      <c r="E39">
        <v>0</v>
      </c>
      <c r="F39" t="s">
        <v>19</v>
      </c>
      <c r="G39" t="s">
        <v>20</v>
      </c>
      <c r="H39" t="s">
        <v>18</v>
      </c>
      <c r="I39">
        <v>1</v>
      </c>
      <c r="J39" t="s">
        <v>22</v>
      </c>
      <c r="K39" t="s">
        <v>17</v>
      </c>
      <c r="L39">
        <v>30</v>
      </c>
      <c r="M39" t="str">
        <f t="shared" si="0"/>
        <v>Middle Age</v>
      </c>
      <c r="N39" t="s">
        <v>18</v>
      </c>
    </row>
    <row r="40" spans="1:14" x14ac:dyDescent="0.25">
      <c r="A40">
        <v>26863</v>
      </c>
      <c r="B40" s="3" t="s">
        <v>37</v>
      </c>
      <c r="C40" t="s">
        <v>39</v>
      </c>
      <c r="D40" s="4">
        <v>20000</v>
      </c>
      <c r="E40">
        <v>0</v>
      </c>
      <c r="F40" t="s">
        <v>27</v>
      </c>
      <c r="G40" t="s">
        <v>25</v>
      </c>
      <c r="H40" t="s">
        <v>18</v>
      </c>
      <c r="I40">
        <v>1</v>
      </c>
      <c r="J40" t="s">
        <v>22</v>
      </c>
      <c r="K40" t="s">
        <v>17</v>
      </c>
      <c r="L40">
        <v>28</v>
      </c>
      <c r="M40" t="str">
        <f t="shared" si="0"/>
        <v>Middle Age</v>
      </c>
      <c r="N40" t="s">
        <v>18</v>
      </c>
    </row>
    <row r="41" spans="1:14" x14ac:dyDescent="0.25">
      <c r="A41">
        <v>16259</v>
      </c>
      <c r="B41" s="3" t="s">
        <v>37</v>
      </c>
      <c r="C41" t="s">
        <v>38</v>
      </c>
      <c r="D41" s="4">
        <v>10000</v>
      </c>
      <c r="E41">
        <v>4</v>
      </c>
      <c r="F41" t="s">
        <v>29</v>
      </c>
      <c r="G41" t="s">
        <v>25</v>
      </c>
      <c r="H41" t="s">
        <v>15</v>
      </c>
      <c r="I41">
        <v>2</v>
      </c>
      <c r="J41" t="s">
        <v>16</v>
      </c>
      <c r="K41" t="s">
        <v>17</v>
      </c>
      <c r="L41">
        <v>40</v>
      </c>
      <c r="M41" t="str">
        <f t="shared" si="0"/>
        <v>Middle Age</v>
      </c>
      <c r="N41" t="s">
        <v>15</v>
      </c>
    </row>
    <row r="42" spans="1:14" x14ac:dyDescent="0.25">
      <c r="A42">
        <v>27803</v>
      </c>
      <c r="B42" s="3" t="s">
        <v>37</v>
      </c>
      <c r="C42" t="s">
        <v>38</v>
      </c>
      <c r="D42" s="4">
        <v>30000</v>
      </c>
      <c r="E42">
        <v>2</v>
      </c>
      <c r="F42" t="s">
        <v>19</v>
      </c>
      <c r="G42" t="s">
        <v>20</v>
      </c>
      <c r="H42" t="s">
        <v>18</v>
      </c>
      <c r="I42">
        <v>0</v>
      </c>
      <c r="J42" t="s">
        <v>16</v>
      </c>
      <c r="K42" t="s">
        <v>17</v>
      </c>
      <c r="L42">
        <v>43</v>
      </c>
      <c r="M42" t="str">
        <f t="shared" si="0"/>
        <v>Middle Age</v>
      </c>
      <c r="N42" t="s">
        <v>18</v>
      </c>
    </row>
    <row r="43" spans="1:14" x14ac:dyDescent="0.25">
      <c r="A43">
        <v>14347</v>
      </c>
      <c r="B43" s="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s="3" t="s">
        <v>36</v>
      </c>
      <c r="C44" t="s">
        <v>38</v>
      </c>
      <c r="D44" s="4">
        <v>10000</v>
      </c>
      <c r="E44">
        <v>1</v>
      </c>
      <c r="F44" t="s">
        <v>31</v>
      </c>
      <c r="G44" t="s">
        <v>25</v>
      </c>
      <c r="H44" t="s">
        <v>15</v>
      </c>
      <c r="I44">
        <v>0</v>
      </c>
      <c r="J44" t="s">
        <v>16</v>
      </c>
      <c r="K44" t="s">
        <v>17</v>
      </c>
      <c r="L44">
        <v>40</v>
      </c>
      <c r="M44" t="str">
        <f t="shared" si="0"/>
        <v>Middle Age</v>
      </c>
      <c r="N44" t="s">
        <v>18</v>
      </c>
    </row>
    <row r="45" spans="1:14" x14ac:dyDescent="0.25">
      <c r="A45">
        <v>17185</v>
      </c>
      <c r="B45" s="3" t="s">
        <v>36</v>
      </c>
      <c r="C45" t="s">
        <v>38</v>
      </c>
      <c r="D45" s="4">
        <v>170000</v>
      </c>
      <c r="E45">
        <v>4</v>
      </c>
      <c r="F45" t="s">
        <v>19</v>
      </c>
      <c r="G45" t="s">
        <v>21</v>
      </c>
      <c r="H45" t="s">
        <v>18</v>
      </c>
      <c r="I45">
        <v>3</v>
      </c>
      <c r="J45" t="s">
        <v>23</v>
      </c>
      <c r="K45" t="s">
        <v>17</v>
      </c>
      <c r="L45">
        <v>48</v>
      </c>
      <c r="M45" t="str">
        <f t="shared" si="0"/>
        <v>Middle Age</v>
      </c>
      <c r="N45" t="s">
        <v>15</v>
      </c>
    </row>
    <row r="46" spans="1:14" x14ac:dyDescent="0.25">
      <c r="A46">
        <v>29380</v>
      </c>
      <c r="B46" s="3" t="s">
        <v>36</v>
      </c>
      <c r="C46" t="s">
        <v>38</v>
      </c>
      <c r="D46" s="4">
        <v>20000</v>
      </c>
      <c r="E46">
        <v>3</v>
      </c>
      <c r="F46" t="s">
        <v>27</v>
      </c>
      <c r="G46" t="s">
        <v>25</v>
      </c>
      <c r="H46" t="s">
        <v>15</v>
      </c>
      <c r="I46">
        <v>0</v>
      </c>
      <c r="J46" t="s">
        <v>16</v>
      </c>
      <c r="K46" t="s">
        <v>17</v>
      </c>
      <c r="L46">
        <v>41</v>
      </c>
      <c r="M46" t="str">
        <f t="shared" si="0"/>
        <v>Middle Age</v>
      </c>
      <c r="N46" t="s">
        <v>15</v>
      </c>
    </row>
    <row r="47" spans="1:14" x14ac:dyDescent="0.25">
      <c r="A47">
        <v>23986</v>
      </c>
      <c r="B47" s="3"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s="3" t="s">
        <v>36</v>
      </c>
      <c r="C48" t="s">
        <v>38</v>
      </c>
      <c r="D48" s="4">
        <v>60000</v>
      </c>
      <c r="E48">
        <v>1</v>
      </c>
      <c r="F48" t="s">
        <v>19</v>
      </c>
      <c r="G48" t="s">
        <v>14</v>
      </c>
      <c r="H48" t="s">
        <v>15</v>
      </c>
      <c r="I48">
        <v>1</v>
      </c>
      <c r="J48" t="s">
        <v>23</v>
      </c>
      <c r="K48" t="s">
        <v>24</v>
      </c>
      <c r="L48">
        <v>46</v>
      </c>
      <c r="M48" t="str">
        <f t="shared" si="0"/>
        <v>Middle Age</v>
      </c>
      <c r="N48" t="s">
        <v>15</v>
      </c>
    </row>
    <row r="49" spans="1:14" x14ac:dyDescent="0.25">
      <c r="A49">
        <v>29097</v>
      </c>
      <c r="B49" s="3" t="s">
        <v>37</v>
      </c>
      <c r="C49" t="s">
        <v>38</v>
      </c>
      <c r="D49" s="4">
        <v>40000</v>
      </c>
      <c r="E49">
        <v>2</v>
      </c>
      <c r="F49" t="s">
        <v>19</v>
      </c>
      <c r="G49" t="s">
        <v>14</v>
      </c>
      <c r="H49" t="s">
        <v>15</v>
      </c>
      <c r="I49">
        <v>2</v>
      </c>
      <c r="J49" t="s">
        <v>23</v>
      </c>
      <c r="K49" t="s">
        <v>24</v>
      </c>
      <c r="L49">
        <v>52</v>
      </c>
      <c r="M49" t="str">
        <f t="shared" si="0"/>
        <v>Old</v>
      </c>
      <c r="N49" t="s">
        <v>15</v>
      </c>
    </row>
    <row r="50" spans="1:14" x14ac:dyDescent="0.25">
      <c r="A50">
        <v>19487</v>
      </c>
      <c r="B50" s="3" t="s">
        <v>36</v>
      </c>
      <c r="C50" t="s">
        <v>39</v>
      </c>
      <c r="D50" s="4">
        <v>30000</v>
      </c>
      <c r="E50">
        <v>2</v>
      </c>
      <c r="F50" t="s">
        <v>19</v>
      </c>
      <c r="G50" t="s">
        <v>20</v>
      </c>
      <c r="H50" t="s">
        <v>18</v>
      </c>
      <c r="I50">
        <v>2</v>
      </c>
      <c r="J50" t="s">
        <v>16</v>
      </c>
      <c r="K50" t="s">
        <v>17</v>
      </c>
      <c r="L50">
        <v>42</v>
      </c>
      <c r="M50" t="str">
        <f t="shared" si="0"/>
        <v>Invalide</v>
      </c>
      <c r="N50" t="s">
        <v>18</v>
      </c>
    </row>
    <row r="51" spans="1:14" x14ac:dyDescent="0.25">
      <c r="A51">
        <v>14939</v>
      </c>
      <c r="B51" s="3" t="s">
        <v>37</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s="3" t="s">
        <v>37</v>
      </c>
      <c r="C52" t="s">
        <v>38</v>
      </c>
      <c r="D52" s="4">
        <v>30000</v>
      </c>
      <c r="E52">
        <v>0</v>
      </c>
      <c r="F52" t="s">
        <v>19</v>
      </c>
      <c r="G52" t="s">
        <v>20</v>
      </c>
      <c r="H52" t="s">
        <v>18</v>
      </c>
      <c r="I52">
        <v>1</v>
      </c>
      <c r="J52" t="s">
        <v>16</v>
      </c>
      <c r="K52" t="s">
        <v>17</v>
      </c>
      <c r="L52">
        <v>28</v>
      </c>
      <c r="M52" t="str">
        <f t="shared" si="0"/>
        <v>Middle Age</v>
      </c>
      <c r="N52" t="s">
        <v>18</v>
      </c>
    </row>
    <row r="53" spans="1:14" x14ac:dyDescent="0.25">
      <c r="A53">
        <v>20619</v>
      </c>
      <c r="B53" s="3" t="s">
        <v>37</v>
      </c>
      <c r="C53" t="s">
        <v>39</v>
      </c>
      <c r="D53" s="4">
        <v>80000</v>
      </c>
      <c r="E53">
        <v>0</v>
      </c>
      <c r="F53" t="s">
        <v>13</v>
      </c>
      <c r="G53" t="s">
        <v>21</v>
      </c>
      <c r="H53" t="s">
        <v>18</v>
      </c>
      <c r="I53">
        <v>4</v>
      </c>
      <c r="J53" t="s">
        <v>46</v>
      </c>
      <c r="K53" t="s">
        <v>24</v>
      </c>
      <c r="L53">
        <v>35</v>
      </c>
      <c r="M53" t="str">
        <f t="shared" si="0"/>
        <v>Middle Age</v>
      </c>
      <c r="N53" t="s">
        <v>18</v>
      </c>
    </row>
    <row r="54" spans="1:14" x14ac:dyDescent="0.25">
      <c r="A54">
        <v>12558</v>
      </c>
      <c r="B54" s="3"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s="3"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s="3" t="s">
        <v>37</v>
      </c>
      <c r="C56" t="s">
        <v>38</v>
      </c>
      <c r="D56" s="4">
        <v>70000</v>
      </c>
      <c r="E56">
        <v>0</v>
      </c>
      <c r="F56" t="s">
        <v>13</v>
      </c>
      <c r="G56" t="s">
        <v>21</v>
      </c>
      <c r="H56" t="s">
        <v>18</v>
      </c>
      <c r="I56">
        <v>1</v>
      </c>
      <c r="J56" t="s">
        <v>23</v>
      </c>
      <c r="K56" t="s">
        <v>24</v>
      </c>
      <c r="L56">
        <v>42</v>
      </c>
      <c r="M56" t="str">
        <f t="shared" si="0"/>
        <v>Middle Age</v>
      </c>
      <c r="N56" t="s">
        <v>18</v>
      </c>
    </row>
    <row r="57" spans="1:14" x14ac:dyDescent="0.25">
      <c r="A57">
        <v>28906</v>
      </c>
      <c r="B57" s="3" t="s">
        <v>36</v>
      </c>
      <c r="C57" t="s">
        <v>39</v>
      </c>
      <c r="D57" s="4">
        <v>80000</v>
      </c>
      <c r="E57">
        <v>4</v>
      </c>
      <c r="F57" t="s">
        <v>27</v>
      </c>
      <c r="G57" t="s">
        <v>21</v>
      </c>
      <c r="H57" t="s">
        <v>15</v>
      </c>
      <c r="I57">
        <v>2</v>
      </c>
      <c r="J57" t="s">
        <v>46</v>
      </c>
      <c r="K57" t="s">
        <v>17</v>
      </c>
      <c r="L57">
        <v>54</v>
      </c>
      <c r="M57" t="str">
        <f t="shared" si="0"/>
        <v>Old</v>
      </c>
      <c r="N57" t="s">
        <v>18</v>
      </c>
    </row>
    <row r="58" spans="1:14" x14ac:dyDescent="0.25">
      <c r="A58">
        <v>12808</v>
      </c>
      <c r="B58" s="3" t="s">
        <v>36</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s="3"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s="3" t="s">
        <v>36</v>
      </c>
      <c r="C60" t="s">
        <v>38</v>
      </c>
      <c r="D60" s="4">
        <v>40000</v>
      </c>
      <c r="E60">
        <v>1</v>
      </c>
      <c r="F60" t="s">
        <v>13</v>
      </c>
      <c r="G60" t="s">
        <v>14</v>
      </c>
      <c r="H60" t="s">
        <v>15</v>
      </c>
      <c r="I60">
        <v>0</v>
      </c>
      <c r="J60" t="s">
        <v>16</v>
      </c>
      <c r="K60" t="s">
        <v>17</v>
      </c>
      <c r="L60">
        <v>43</v>
      </c>
      <c r="M60" t="str">
        <f t="shared" si="0"/>
        <v>Middle Age</v>
      </c>
      <c r="N60" t="s">
        <v>15</v>
      </c>
    </row>
    <row r="61" spans="1:14" x14ac:dyDescent="0.25">
      <c r="A61">
        <v>15580</v>
      </c>
      <c r="B61" s="3" t="s">
        <v>36</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s="3" t="s">
        <v>37</v>
      </c>
      <c r="C62" t="s">
        <v>38</v>
      </c>
      <c r="D62" s="4">
        <v>10000</v>
      </c>
      <c r="E62">
        <v>1</v>
      </c>
      <c r="F62" t="s">
        <v>27</v>
      </c>
      <c r="G62" t="s">
        <v>25</v>
      </c>
      <c r="H62" t="s">
        <v>18</v>
      </c>
      <c r="I62">
        <v>1</v>
      </c>
      <c r="J62" t="s">
        <v>26</v>
      </c>
      <c r="K62" t="s">
        <v>17</v>
      </c>
      <c r="L62">
        <v>45</v>
      </c>
      <c r="M62" t="str">
        <f t="shared" si="0"/>
        <v>Middle Age</v>
      </c>
      <c r="N62" t="s">
        <v>18</v>
      </c>
    </row>
    <row r="63" spans="1:14" x14ac:dyDescent="0.25">
      <c r="A63">
        <v>19291</v>
      </c>
      <c r="B63" s="3" t="s">
        <v>37</v>
      </c>
      <c r="C63" t="s">
        <v>38</v>
      </c>
      <c r="D63" s="4">
        <v>10000</v>
      </c>
      <c r="E63">
        <v>2</v>
      </c>
      <c r="F63" t="s">
        <v>27</v>
      </c>
      <c r="G63" t="s">
        <v>25</v>
      </c>
      <c r="H63" t="s">
        <v>15</v>
      </c>
      <c r="I63">
        <v>0</v>
      </c>
      <c r="J63" t="s">
        <v>16</v>
      </c>
      <c r="K63" t="s">
        <v>17</v>
      </c>
      <c r="L63">
        <v>35</v>
      </c>
      <c r="M63" t="str">
        <f t="shared" si="0"/>
        <v>Middle Age</v>
      </c>
      <c r="N63" t="s">
        <v>18</v>
      </c>
    </row>
    <row r="64" spans="1:14" x14ac:dyDescent="0.25">
      <c r="A64">
        <v>16713</v>
      </c>
      <c r="B64" s="3" t="s">
        <v>36</v>
      </c>
      <c r="C64" t="s">
        <v>39</v>
      </c>
      <c r="D64" s="4">
        <v>40000</v>
      </c>
      <c r="E64">
        <v>2</v>
      </c>
      <c r="F64" t="s">
        <v>13</v>
      </c>
      <c r="G64" t="s">
        <v>28</v>
      </c>
      <c r="H64" t="s">
        <v>15</v>
      </c>
      <c r="I64">
        <v>1</v>
      </c>
      <c r="J64" t="s">
        <v>16</v>
      </c>
      <c r="K64" t="s">
        <v>24</v>
      </c>
      <c r="L64">
        <v>52</v>
      </c>
      <c r="M64" t="str">
        <f t="shared" si="0"/>
        <v>Old</v>
      </c>
      <c r="N64" t="s">
        <v>15</v>
      </c>
    </row>
    <row r="65" spans="1:14" x14ac:dyDescent="0.25">
      <c r="A65">
        <v>16185</v>
      </c>
      <c r="B65" s="3" t="s">
        <v>37</v>
      </c>
      <c r="C65" t="s">
        <v>39</v>
      </c>
      <c r="D65" s="4">
        <v>60000</v>
      </c>
      <c r="E65">
        <v>4</v>
      </c>
      <c r="F65" t="s">
        <v>13</v>
      </c>
      <c r="G65" t="s">
        <v>21</v>
      </c>
      <c r="H65" t="s">
        <v>15</v>
      </c>
      <c r="I65">
        <v>3</v>
      </c>
      <c r="J65" t="s">
        <v>46</v>
      </c>
      <c r="K65" t="s">
        <v>24</v>
      </c>
      <c r="L65">
        <v>41</v>
      </c>
      <c r="M65" t="str">
        <f t="shared" si="0"/>
        <v>Middle Age</v>
      </c>
      <c r="N65" t="s">
        <v>18</v>
      </c>
    </row>
    <row r="66" spans="1:14" x14ac:dyDescent="0.25">
      <c r="A66">
        <v>14927</v>
      </c>
      <c r="B66" s="3" t="s">
        <v>36</v>
      </c>
      <c r="C66" t="s">
        <v>38</v>
      </c>
      <c r="D66" s="4">
        <v>30000</v>
      </c>
      <c r="E66">
        <v>1</v>
      </c>
      <c r="F66" t="s">
        <v>13</v>
      </c>
      <c r="G66" t="s">
        <v>20</v>
      </c>
      <c r="H66" t="s">
        <v>15</v>
      </c>
      <c r="I66">
        <v>0</v>
      </c>
      <c r="J66" t="s">
        <v>16</v>
      </c>
      <c r="K66" t="s">
        <v>17</v>
      </c>
      <c r="L66">
        <v>37</v>
      </c>
      <c r="M66" t="str">
        <f t="shared" si="0"/>
        <v>Middle Age</v>
      </c>
      <c r="N66" t="s">
        <v>15</v>
      </c>
    </row>
    <row r="67" spans="1:14" x14ac:dyDescent="0.25">
      <c r="A67">
        <v>29337</v>
      </c>
      <c r="B67" s="3" t="s">
        <v>37</v>
      </c>
      <c r="C67" t="s">
        <v>39</v>
      </c>
      <c r="D67" s="4">
        <v>30000</v>
      </c>
      <c r="E67">
        <v>2</v>
      </c>
      <c r="F67" t="s">
        <v>19</v>
      </c>
      <c r="G67" t="s">
        <v>20</v>
      </c>
      <c r="H67" t="s">
        <v>15</v>
      </c>
      <c r="I67">
        <v>2</v>
      </c>
      <c r="J67" t="s">
        <v>23</v>
      </c>
      <c r="K67" t="s">
        <v>24</v>
      </c>
      <c r="L67">
        <v>68</v>
      </c>
      <c r="M67" t="str">
        <f t="shared" ref="M67:M130" si="1">IF(L67&gt;51,"Old",IF(L69&gt;=31,"Middle Age",IF(L67&lt;31,"Adolescent","Invalide")))</f>
        <v>Old</v>
      </c>
      <c r="N67" t="s">
        <v>18</v>
      </c>
    </row>
    <row r="68" spans="1:14" x14ac:dyDescent="0.25">
      <c r="A68">
        <v>29355</v>
      </c>
      <c r="B68" s="3" t="s">
        <v>36</v>
      </c>
      <c r="C68" t="s">
        <v>38</v>
      </c>
      <c r="D68" s="4">
        <v>40000</v>
      </c>
      <c r="E68">
        <v>0</v>
      </c>
      <c r="F68" t="s">
        <v>31</v>
      </c>
      <c r="G68" t="s">
        <v>20</v>
      </c>
      <c r="H68" t="s">
        <v>15</v>
      </c>
      <c r="I68">
        <v>0</v>
      </c>
      <c r="J68" t="s">
        <v>16</v>
      </c>
      <c r="K68" t="s">
        <v>17</v>
      </c>
      <c r="L68">
        <v>37</v>
      </c>
      <c r="M68" t="str">
        <f t="shared" si="1"/>
        <v>Middle Age</v>
      </c>
      <c r="N68" t="s">
        <v>15</v>
      </c>
    </row>
    <row r="69" spans="1:14" x14ac:dyDescent="0.25">
      <c r="A69">
        <v>25303</v>
      </c>
      <c r="B69" s="3" t="s">
        <v>37</v>
      </c>
      <c r="C69" t="s">
        <v>39</v>
      </c>
      <c r="D69" s="4">
        <v>30000</v>
      </c>
      <c r="E69">
        <v>0</v>
      </c>
      <c r="F69" t="s">
        <v>27</v>
      </c>
      <c r="G69" t="s">
        <v>25</v>
      </c>
      <c r="H69" t="s">
        <v>15</v>
      </c>
      <c r="I69">
        <v>1</v>
      </c>
      <c r="J69" t="s">
        <v>22</v>
      </c>
      <c r="K69" t="s">
        <v>17</v>
      </c>
      <c r="L69">
        <v>33</v>
      </c>
      <c r="M69" t="str">
        <f t="shared" si="1"/>
        <v>Invalide</v>
      </c>
      <c r="N69" t="s">
        <v>15</v>
      </c>
    </row>
    <row r="70" spans="1:14" x14ac:dyDescent="0.25">
      <c r="A70">
        <v>14813</v>
      </c>
      <c r="B70" s="3" t="s">
        <v>37</v>
      </c>
      <c r="C70" t="s">
        <v>38</v>
      </c>
      <c r="D70" s="4">
        <v>20000</v>
      </c>
      <c r="E70">
        <v>4</v>
      </c>
      <c r="F70" t="s">
        <v>27</v>
      </c>
      <c r="G70" t="s">
        <v>25</v>
      </c>
      <c r="H70" t="s">
        <v>15</v>
      </c>
      <c r="I70">
        <v>1</v>
      </c>
      <c r="J70" t="s">
        <v>16</v>
      </c>
      <c r="K70" t="s">
        <v>17</v>
      </c>
      <c r="L70">
        <v>43</v>
      </c>
      <c r="M70" t="str">
        <f t="shared" si="1"/>
        <v>Middle Age</v>
      </c>
      <c r="N70" t="s">
        <v>15</v>
      </c>
    </row>
    <row r="71" spans="1:14" x14ac:dyDescent="0.25">
      <c r="A71">
        <v>16438</v>
      </c>
      <c r="B71" s="3" t="s">
        <v>36</v>
      </c>
      <c r="C71" t="s">
        <v>38</v>
      </c>
      <c r="D71" s="4">
        <v>10000</v>
      </c>
      <c r="E71">
        <v>0</v>
      </c>
      <c r="F71" t="s">
        <v>29</v>
      </c>
      <c r="G71" t="s">
        <v>25</v>
      </c>
      <c r="H71" t="s">
        <v>18</v>
      </c>
      <c r="I71">
        <v>2</v>
      </c>
      <c r="J71" t="s">
        <v>16</v>
      </c>
      <c r="K71" t="s">
        <v>17</v>
      </c>
      <c r="L71">
        <v>30</v>
      </c>
      <c r="M71" t="str">
        <f t="shared" si="1"/>
        <v>Middle Age</v>
      </c>
      <c r="N71" t="s">
        <v>18</v>
      </c>
    </row>
    <row r="72" spans="1:14" x14ac:dyDescent="0.25">
      <c r="A72">
        <v>14238</v>
      </c>
      <c r="B72" s="3" t="s">
        <v>36</v>
      </c>
      <c r="C72" t="s">
        <v>39</v>
      </c>
      <c r="D72" s="4">
        <v>120000</v>
      </c>
      <c r="E72">
        <v>0</v>
      </c>
      <c r="F72" t="s">
        <v>29</v>
      </c>
      <c r="G72" t="s">
        <v>21</v>
      </c>
      <c r="H72" t="s">
        <v>15</v>
      </c>
      <c r="I72">
        <v>4</v>
      </c>
      <c r="J72" t="s">
        <v>46</v>
      </c>
      <c r="K72" t="s">
        <v>24</v>
      </c>
      <c r="L72">
        <v>36</v>
      </c>
      <c r="M72" t="str">
        <f t="shared" si="1"/>
        <v>Middle Age</v>
      </c>
      <c r="N72" t="s">
        <v>15</v>
      </c>
    </row>
    <row r="73" spans="1:14" x14ac:dyDescent="0.25">
      <c r="A73">
        <v>16200</v>
      </c>
      <c r="B73" s="3" t="s">
        <v>37</v>
      </c>
      <c r="C73" t="s">
        <v>38</v>
      </c>
      <c r="D73" s="4">
        <v>10000</v>
      </c>
      <c r="E73">
        <v>0</v>
      </c>
      <c r="F73" t="s">
        <v>29</v>
      </c>
      <c r="G73" t="s">
        <v>25</v>
      </c>
      <c r="H73" t="s">
        <v>18</v>
      </c>
      <c r="I73">
        <v>2</v>
      </c>
      <c r="J73" t="s">
        <v>16</v>
      </c>
      <c r="K73" t="s">
        <v>17</v>
      </c>
      <c r="L73">
        <v>35</v>
      </c>
      <c r="M73" t="str">
        <f t="shared" si="1"/>
        <v>Middle Age</v>
      </c>
      <c r="N73" t="s">
        <v>18</v>
      </c>
    </row>
    <row r="74" spans="1:14" x14ac:dyDescent="0.25">
      <c r="A74">
        <v>24857</v>
      </c>
      <c r="B74" s="3" t="s">
        <v>36</v>
      </c>
      <c r="C74" t="s">
        <v>38</v>
      </c>
      <c r="D74" s="4">
        <v>130000</v>
      </c>
      <c r="E74">
        <v>3</v>
      </c>
      <c r="F74" t="s">
        <v>27</v>
      </c>
      <c r="G74" t="s">
        <v>21</v>
      </c>
      <c r="H74" t="s">
        <v>15</v>
      </c>
      <c r="I74">
        <v>4</v>
      </c>
      <c r="J74" t="s">
        <v>16</v>
      </c>
      <c r="K74" t="s">
        <v>17</v>
      </c>
      <c r="L74">
        <v>52</v>
      </c>
      <c r="M74" t="str">
        <f t="shared" si="1"/>
        <v>Old</v>
      </c>
      <c r="N74" t="s">
        <v>18</v>
      </c>
    </row>
    <row r="75" spans="1:14" x14ac:dyDescent="0.25">
      <c r="A75">
        <v>26956</v>
      </c>
      <c r="B75" s="3" t="s">
        <v>37</v>
      </c>
      <c r="C75" t="s">
        <v>38</v>
      </c>
      <c r="D75" s="4">
        <v>20000</v>
      </c>
      <c r="E75">
        <v>0</v>
      </c>
      <c r="F75" t="s">
        <v>19</v>
      </c>
      <c r="G75" t="s">
        <v>25</v>
      </c>
      <c r="H75" t="s">
        <v>18</v>
      </c>
      <c r="I75">
        <v>1</v>
      </c>
      <c r="J75" t="s">
        <v>22</v>
      </c>
      <c r="K75" t="s">
        <v>17</v>
      </c>
      <c r="L75">
        <v>36</v>
      </c>
      <c r="M75" t="str">
        <f t="shared" si="1"/>
        <v>Middle Age</v>
      </c>
      <c r="N75" t="s">
        <v>15</v>
      </c>
    </row>
    <row r="76" spans="1:14" x14ac:dyDescent="0.25">
      <c r="A76">
        <v>14517</v>
      </c>
      <c r="B76" s="3"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s="3" t="s">
        <v>37</v>
      </c>
      <c r="C77" t="s">
        <v>38</v>
      </c>
      <c r="D77" s="4">
        <v>130000</v>
      </c>
      <c r="E77">
        <v>4</v>
      </c>
      <c r="F77" t="s">
        <v>27</v>
      </c>
      <c r="G77" t="s">
        <v>28</v>
      </c>
      <c r="H77" t="s">
        <v>15</v>
      </c>
      <c r="I77">
        <v>4</v>
      </c>
      <c r="J77" t="s">
        <v>16</v>
      </c>
      <c r="K77" t="s">
        <v>24</v>
      </c>
      <c r="L77">
        <v>31</v>
      </c>
      <c r="M77" t="str">
        <f t="shared" si="1"/>
        <v>Invalide</v>
      </c>
      <c r="N77" t="s">
        <v>18</v>
      </c>
    </row>
    <row r="78" spans="1:14" x14ac:dyDescent="0.25">
      <c r="A78">
        <v>16188</v>
      </c>
      <c r="B78" s="3" t="s">
        <v>37</v>
      </c>
      <c r="C78" t="s">
        <v>38</v>
      </c>
      <c r="D78" s="4">
        <v>20000</v>
      </c>
      <c r="E78">
        <v>0</v>
      </c>
      <c r="F78" t="s">
        <v>29</v>
      </c>
      <c r="G78" t="s">
        <v>25</v>
      </c>
      <c r="H78" t="s">
        <v>18</v>
      </c>
      <c r="I78">
        <v>2</v>
      </c>
      <c r="J78" t="s">
        <v>26</v>
      </c>
      <c r="K78" t="s">
        <v>17</v>
      </c>
      <c r="L78">
        <v>26</v>
      </c>
      <c r="M78" t="str">
        <f t="shared" si="1"/>
        <v>Middle Age</v>
      </c>
      <c r="N78" t="s">
        <v>18</v>
      </c>
    </row>
    <row r="79" spans="1:14" x14ac:dyDescent="0.25">
      <c r="A79">
        <v>27969</v>
      </c>
      <c r="B79" s="3" t="s">
        <v>36</v>
      </c>
      <c r="C79" t="s">
        <v>39</v>
      </c>
      <c r="D79" s="4">
        <v>80000</v>
      </c>
      <c r="E79">
        <v>0</v>
      </c>
      <c r="F79" t="s">
        <v>13</v>
      </c>
      <c r="G79" t="s">
        <v>21</v>
      </c>
      <c r="H79" t="s">
        <v>15</v>
      </c>
      <c r="I79">
        <v>2</v>
      </c>
      <c r="J79" t="s">
        <v>46</v>
      </c>
      <c r="K79" t="s">
        <v>24</v>
      </c>
      <c r="L79">
        <v>29</v>
      </c>
      <c r="M79" t="str">
        <f t="shared" si="1"/>
        <v>Middle Age</v>
      </c>
      <c r="N79" t="s">
        <v>15</v>
      </c>
    </row>
    <row r="80" spans="1:14" x14ac:dyDescent="0.25">
      <c r="A80">
        <v>15752</v>
      </c>
      <c r="B80" s="3" t="s">
        <v>36</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s="3"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s="3" t="s">
        <v>36</v>
      </c>
      <c r="C82" t="s">
        <v>38</v>
      </c>
      <c r="D82" s="4">
        <v>30000</v>
      </c>
      <c r="E82">
        <v>4</v>
      </c>
      <c r="F82" t="s">
        <v>31</v>
      </c>
      <c r="G82" t="s">
        <v>20</v>
      </c>
      <c r="H82" t="s">
        <v>15</v>
      </c>
      <c r="I82">
        <v>0</v>
      </c>
      <c r="J82" t="s">
        <v>16</v>
      </c>
      <c r="K82" t="s">
        <v>17</v>
      </c>
      <c r="L82">
        <v>45</v>
      </c>
      <c r="M82" t="str">
        <f t="shared" si="1"/>
        <v>Middle Age</v>
      </c>
      <c r="N82" t="s">
        <v>15</v>
      </c>
    </row>
    <row r="83" spans="1:14" x14ac:dyDescent="0.25">
      <c r="A83">
        <v>19461</v>
      </c>
      <c r="B83" s="3" t="s">
        <v>37</v>
      </c>
      <c r="C83" t="s">
        <v>38</v>
      </c>
      <c r="D83" s="4">
        <v>10000</v>
      </c>
      <c r="E83">
        <v>4</v>
      </c>
      <c r="F83" t="s">
        <v>29</v>
      </c>
      <c r="G83" t="s">
        <v>25</v>
      </c>
      <c r="H83" t="s">
        <v>15</v>
      </c>
      <c r="I83">
        <v>2</v>
      </c>
      <c r="J83" t="s">
        <v>16</v>
      </c>
      <c r="K83" t="s">
        <v>17</v>
      </c>
      <c r="L83">
        <v>40</v>
      </c>
      <c r="M83" t="str">
        <f t="shared" si="1"/>
        <v>Invalide</v>
      </c>
      <c r="N83" t="s">
        <v>18</v>
      </c>
    </row>
    <row r="84" spans="1:14" x14ac:dyDescent="0.25">
      <c r="A84">
        <v>26941</v>
      </c>
      <c r="B84" s="3" t="s">
        <v>36</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s="3"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s="3" t="s">
        <v>37</v>
      </c>
      <c r="C86" t="s">
        <v>39</v>
      </c>
      <c r="D86" s="4">
        <v>40000</v>
      </c>
      <c r="E86">
        <v>2</v>
      </c>
      <c r="F86" t="s">
        <v>13</v>
      </c>
      <c r="G86" t="s">
        <v>28</v>
      </c>
      <c r="H86" t="s">
        <v>18</v>
      </c>
      <c r="I86">
        <v>1</v>
      </c>
      <c r="J86" t="s">
        <v>23</v>
      </c>
      <c r="K86" t="s">
        <v>24</v>
      </c>
      <c r="L86">
        <v>52</v>
      </c>
      <c r="M86" t="str">
        <f t="shared" si="1"/>
        <v>Old</v>
      </c>
      <c r="N86" t="s">
        <v>15</v>
      </c>
    </row>
    <row r="87" spans="1:14" x14ac:dyDescent="0.25">
      <c r="A87">
        <v>16514</v>
      </c>
      <c r="B87" s="3" t="s">
        <v>37</v>
      </c>
      <c r="C87" t="s">
        <v>39</v>
      </c>
      <c r="D87" s="4">
        <v>10000</v>
      </c>
      <c r="E87">
        <v>0</v>
      </c>
      <c r="F87" t="s">
        <v>19</v>
      </c>
      <c r="G87" t="s">
        <v>25</v>
      </c>
      <c r="H87" t="s">
        <v>15</v>
      </c>
      <c r="I87">
        <v>1</v>
      </c>
      <c r="J87" t="s">
        <v>26</v>
      </c>
      <c r="K87" t="s">
        <v>24</v>
      </c>
      <c r="L87">
        <v>26</v>
      </c>
      <c r="M87" t="str">
        <f t="shared" si="1"/>
        <v>Middle Age</v>
      </c>
      <c r="N87" t="s">
        <v>15</v>
      </c>
    </row>
    <row r="88" spans="1:14" x14ac:dyDescent="0.25">
      <c r="A88">
        <v>17191</v>
      </c>
      <c r="B88" s="3" t="s">
        <v>37</v>
      </c>
      <c r="C88" t="s">
        <v>39</v>
      </c>
      <c r="D88" s="4">
        <v>130000</v>
      </c>
      <c r="E88">
        <v>3</v>
      </c>
      <c r="F88" t="s">
        <v>19</v>
      </c>
      <c r="G88" t="s">
        <v>21</v>
      </c>
      <c r="H88" t="s">
        <v>18</v>
      </c>
      <c r="I88">
        <v>3</v>
      </c>
      <c r="J88" t="s">
        <v>16</v>
      </c>
      <c r="K88" t="s">
        <v>17</v>
      </c>
      <c r="L88">
        <v>51</v>
      </c>
      <c r="M88" t="str">
        <f t="shared" si="1"/>
        <v>Invalide</v>
      </c>
      <c r="N88" t="s">
        <v>15</v>
      </c>
    </row>
    <row r="89" spans="1:14" x14ac:dyDescent="0.25">
      <c r="A89">
        <v>19608</v>
      </c>
      <c r="B89" s="3" t="s">
        <v>36</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s="3"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s="3" t="s">
        <v>36</v>
      </c>
      <c r="C91" t="s">
        <v>39</v>
      </c>
      <c r="D91" s="4">
        <v>20000</v>
      </c>
      <c r="E91">
        <v>1</v>
      </c>
      <c r="F91" t="s">
        <v>27</v>
      </c>
      <c r="G91" t="s">
        <v>25</v>
      </c>
      <c r="H91" t="s">
        <v>18</v>
      </c>
      <c r="I91">
        <v>1</v>
      </c>
      <c r="J91" t="s">
        <v>26</v>
      </c>
      <c r="K91" t="s">
        <v>17</v>
      </c>
      <c r="L91">
        <v>40</v>
      </c>
      <c r="M91" t="str">
        <f t="shared" si="1"/>
        <v>Invalide</v>
      </c>
      <c r="N91" t="s">
        <v>15</v>
      </c>
    </row>
    <row r="92" spans="1:14" x14ac:dyDescent="0.25">
      <c r="A92">
        <v>26886</v>
      </c>
      <c r="B92" s="3" t="s">
        <v>37</v>
      </c>
      <c r="C92" t="s">
        <v>38</v>
      </c>
      <c r="D92" s="4">
        <v>30000</v>
      </c>
      <c r="E92">
        <v>0</v>
      </c>
      <c r="F92" t="s">
        <v>19</v>
      </c>
      <c r="G92" t="s">
        <v>20</v>
      </c>
      <c r="H92" t="s">
        <v>18</v>
      </c>
      <c r="I92">
        <v>1</v>
      </c>
      <c r="J92" t="s">
        <v>16</v>
      </c>
      <c r="K92" t="s">
        <v>17</v>
      </c>
      <c r="L92">
        <v>29</v>
      </c>
      <c r="M92" t="str">
        <f t="shared" si="1"/>
        <v>Middle Age</v>
      </c>
      <c r="N92" t="s">
        <v>15</v>
      </c>
    </row>
    <row r="93" spans="1:14" x14ac:dyDescent="0.25">
      <c r="A93">
        <v>28436</v>
      </c>
      <c r="B93" s="3" t="s">
        <v>37</v>
      </c>
      <c r="C93" t="s">
        <v>39</v>
      </c>
      <c r="D93" s="4">
        <v>30000</v>
      </c>
      <c r="E93">
        <v>0</v>
      </c>
      <c r="F93" t="s">
        <v>19</v>
      </c>
      <c r="G93" t="s">
        <v>20</v>
      </c>
      <c r="H93" t="s">
        <v>18</v>
      </c>
      <c r="I93">
        <v>1</v>
      </c>
      <c r="J93" t="s">
        <v>16</v>
      </c>
      <c r="K93" t="s">
        <v>17</v>
      </c>
      <c r="L93">
        <v>30</v>
      </c>
      <c r="M93" t="str">
        <f t="shared" si="1"/>
        <v>Middle Age</v>
      </c>
      <c r="N93" t="s">
        <v>15</v>
      </c>
    </row>
    <row r="94" spans="1:14" x14ac:dyDescent="0.25">
      <c r="A94">
        <v>19562</v>
      </c>
      <c r="B94" s="3" t="s">
        <v>37</v>
      </c>
      <c r="C94" t="s">
        <v>38</v>
      </c>
      <c r="D94" s="4">
        <v>60000</v>
      </c>
      <c r="E94">
        <v>2</v>
      </c>
      <c r="F94" t="s">
        <v>13</v>
      </c>
      <c r="G94" t="s">
        <v>21</v>
      </c>
      <c r="H94" t="s">
        <v>15</v>
      </c>
      <c r="I94">
        <v>1</v>
      </c>
      <c r="J94" t="s">
        <v>22</v>
      </c>
      <c r="K94" t="s">
        <v>24</v>
      </c>
      <c r="L94">
        <v>37</v>
      </c>
      <c r="M94" t="str">
        <f t="shared" si="1"/>
        <v>Middle Age</v>
      </c>
      <c r="N94" t="s">
        <v>15</v>
      </c>
    </row>
    <row r="95" spans="1:14" x14ac:dyDescent="0.25">
      <c r="A95">
        <v>15608</v>
      </c>
      <c r="B95" s="3" t="s">
        <v>37</v>
      </c>
      <c r="C95" t="s">
        <v>38</v>
      </c>
      <c r="D95" s="4">
        <v>30000</v>
      </c>
      <c r="E95">
        <v>0</v>
      </c>
      <c r="F95" t="s">
        <v>19</v>
      </c>
      <c r="G95" t="s">
        <v>20</v>
      </c>
      <c r="H95" t="s">
        <v>18</v>
      </c>
      <c r="I95">
        <v>1</v>
      </c>
      <c r="J95" t="s">
        <v>22</v>
      </c>
      <c r="K95" t="s">
        <v>17</v>
      </c>
      <c r="L95">
        <v>33</v>
      </c>
      <c r="M95" t="str">
        <f t="shared" si="1"/>
        <v>Middle Age</v>
      </c>
      <c r="N95" t="s">
        <v>18</v>
      </c>
    </row>
    <row r="96" spans="1:14" x14ac:dyDescent="0.25">
      <c r="A96">
        <v>16487</v>
      </c>
      <c r="B96" s="3" t="s">
        <v>37</v>
      </c>
      <c r="C96" t="s">
        <v>38</v>
      </c>
      <c r="D96" s="4">
        <v>30000</v>
      </c>
      <c r="E96">
        <v>3</v>
      </c>
      <c r="F96" t="s">
        <v>27</v>
      </c>
      <c r="G96" t="s">
        <v>14</v>
      </c>
      <c r="H96" t="s">
        <v>15</v>
      </c>
      <c r="I96">
        <v>2</v>
      </c>
      <c r="J96" t="s">
        <v>23</v>
      </c>
      <c r="K96" t="s">
        <v>24</v>
      </c>
      <c r="L96">
        <v>55</v>
      </c>
      <c r="M96" t="str">
        <f t="shared" si="1"/>
        <v>Old</v>
      </c>
      <c r="N96" t="s">
        <v>18</v>
      </c>
    </row>
    <row r="97" spans="1:14" x14ac:dyDescent="0.25">
      <c r="A97">
        <v>17197</v>
      </c>
      <c r="B97" s="3" t="s">
        <v>37</v>
      </c>
      <c r="C97" t="s">
        <v>38</v>
      </c>
      <c r="D97" s="4">
        <v>90000</v>
      </c>
      <c r="E97">
        <v>5</v>
      </c>
      <c r="F97" t="s">
        <v>19</v>
      </c>
      <c r="G97" t="s">
        <v>21</v>
      </c>
      <c r="H97" t="s">
        <v>15</v>
      </c>
      <c r="I97">
        <v>2</v>
      </c>
      <c r="J97" t="s">
        <v>46</v>
      </c>
      <c r="K97" t="s">
        <v>17</v>
      </c>
      <c r="L97">
        <v>62</v>
      </c>
      <c r="M97" t="str">
        <f t="shared" si="1"/>
        <v>Old</v>
      </c>
      <c r="N97" t="s">
        <v>18</v>
      </c>
    </row>
    <row r="98" spans="1:14" x14ac:dyDescent="0.25">
      <c r="A98">
        <v>12507</v>
      </c>
      <c r="B98" s="3" t="s">
        <v>36</v>
      </c>
      <c r="C98" t="s">
        <v>39</v>
      </c>
      <c r="D98" s="4">
        <v>30000</v>
      </c>
      <c r="E98">
        <v>1</v>
      </c>
      <c r="F98" t="s">
        <v>19</v>
      </c>
      <c r="G98" t="s">
        <v>20</v>
      </c>
      <c r="H98" t="s">
        <v>15</v>
      </c>
      <c r="I98">
        <v>1</v>
      </c>
      <c r="J98" t="s">
        <v>16</v>
      </c>
      <c r="K98" t="s">
        <v>17</v>
      </c>
      <c r="L98">
        <v>43</v>
      </c>
      <c r="M98" t="str">
        <f t="shared" si="1"/>
        <v>Invalide</v>
      </c>
      <c r="N98" t="s">
        <v>18</v>
      </c>
    </row>
    <row r="99" spans="1:14" x14ac:dyDescent="0.25">
      <c r="A99">
        <v>23940</v>
      </c>
      <c r="B99" s="3" t="s">
        <v>36</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s="3" t="s">
        <v>36</v>
      </c>
      <c r="C100" t="s">
        <v>39</v>
      </c>
      <c r="D100" s="4">
        <v>40000</v>
      </c>
      <c r="E100">
        <v>0</v>
      </c>
      <c r="F100" t="s">
        <v>31</v>
      </c>
      <c r="G100" t="s">
        <v>20</v>
      </c>
      <c r="H100" t="s">
        <v>15</v>
      </c>
      <c r="I100">
        <v>0</v>
      </c>
      <c r="J100" t="s">
        <v>16</v>
      </c>
      <c r="K100" t="s">
        <v>17</v>
      </c>
      <c r="L100">
        <v>25</v>
      </c>
      <c r="M100" t="str">
        <f t="shared" si="1"/>
        <v>Middle Age</v>
      </c>
      <c r="N100" t="s">
        <v>15</v>
      </c>
    </row>
    <row r="101" spans="1:14" x14ac:dyDescent="0.25">
      <c r="A101">
        <v>26852</v>
      </c>
      <c r="B101" s="3"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s="3"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s="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s="3"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s="3" t="s">
        <v>37</v>
      </c>
      <c r="C105" t="s">
        <v>39</v>
      </c>
      <c r="D105" s="4">
        <v>60000</v>
      </c>
      <c r="E105">
        <v>1</v>
      </c>
      <c r="F105" t="s">
        <v>19</v>
      </c>
      <c r="G105" t="s">
        <v>14</v>
      </c>
      <c r="H105" t="s">
        <v>15</v>
      </c>
      <c r="I105">
        <v>1</v>
      </c>
      <c r="J105" t="s">
        <v>23</v>
      </c>
      <c r="K105" t="s">
        <v>24</v>
      </c>
      <c r="L105">
        <v>45</v>
      </c>
      <c r="M105" t="str">
        <f t="shared" si="1"/>
        <v>Invalide</v>
      </c>
      <c r="N105" t="s">
        <v>18</v>
      </c>
    </row>
    <row r="106" spans="1:14" x14ac:dyDescent="0.25">
      <c r="A106">
        <v>18491</v>
      </c>
      <c r="B106" s="3"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s="3" t="s">
        <v>37</v>
      </c>
      <c r="C107" t="s">
        <v>38</v>
      </c>
      <c r="D107" s="4">
        <v>30000</v>
      </c>
      <c r="E107">
        <v>0</v>
      </c>
      <c r="F107" t="s">
        <v>19</v>
      </c>
      <c r="G107" t="s">
        <v>20</v>
      </c>
      <c r="H107" t="s">
        <v>18</v>
      </c>
      <c r="I107">
        <v>1</v>
      </c>
      <c r="J107" t="s">
        <v>22</v>
      </c>
      <c r="K107" t="s">
        <v>17</v>
      </c>
      <c r="L107">
        <v>30</v>
      </c>
      <c r="M107" t="str">
        <f t="shared" si="1"/>
        <v>Middle Age</v>
      </c>
      <c r="N107" t="s">
        <v>18</v>
      </c>
    </row>
    <row r="108" spans="1:14" x14ac:dyDescent="0.25">
      <c r="A108">
        <v>20430</v>
      </c>
      <c r="B108" s="3" t="s">
        <v>36</v>
      </c>
      <c r="C108" t="s">
        <v>39</v>
      </c>
      <c r="D108" s="4">
        <v>70000</v>
      </c>
      <c r="E108">
        <v>2</v>
      </c>
      <c r="F108" t="s">
        <v>19</v>
      </c>
      <c r="G108" t="s">
        <v>14</v>
      </c>
      <c r="H108" t="s">
        <v>15</v>
      </c>
      <c r="I108">
        <v>2</v>
      </c>
      <c r="J108" t="s">
        <v>23</v>
      </c>
      <c r="K108" t="s">
        <v>24</v>
      </c>
      <c r="L108">
        <v>52</v>
      </c>
      <c r="M108" t="str">
        <f t="shared" si="1"/>
        <v>Old</v>
      </c>
      <c r="N108" t="s">
        <v>15</v>
      </c>
    </row>
    <row r="109" spans="1:14" x14ac:dyDescent="0.25">
      <c r="A109">
        <v>27494</v>
      </c>
      <c r="B109" s="3" t="s">
        <v>37</v>
      </c>
      <c r="C109" t="s">
        <v>38</v>
      </c>
      <c r="D109" s="4">
        <v>40000</v>
      </c>
      <c r="E109">
        <v>2</v>
      </c>
      <c r="F109" t="s">
        <v>19</v>
      </c>
      <c r="G109" t="s">
        <v>14</v>
      </c>
      <c r="H109" t="s">
        <v>18</v>
      </c>
      <c r="I109">
        <v>2</v>
      </c>
      <c r="J109" t="s">
        <v>26</v>
      </c>
      <c r="K109" t="s">
        <v>24</v>
      </c>
      <c r="L109">
        <v>53</v>
      </c>
      <c r="M109" t="str">
        <f t="shared" si="1"/>
        <v>Old</v>
      </c>
      <c r="N109" t="s">
        <v>15</v>
      </c>
    </row>
    <row r="110" spans="1:14" x14ac:dyDescent="0.25">
      <c r="A110">
        <v>26829</v>
      </c>
      <c r="B110" s="3"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s="3"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s="3"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s="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s="3" t="s">
        <v>37</v>
      </c>
      <c r="C114" t="s">
        <v>38</v>
      </c>
      <c r="D114" s="4">
        <v>40000</v>
      </c>
      <c r="E114">
        <v>2</v>
      </c>
      <c r="F114" t="s">
        <v>19</v>
      </c>
      <c r="G114" t="s">
        <v>20</v>
      </c>
      <c r="H114" t="s">
        <v>15</v>
      </c>
      <c r="I114">
        <v>2</v>
      </c>
      <c r="J114" t="s">
        <v>26</v>
      </c>
      <c r="K114" t="s">
        <v>17</v>
      </c>
      <c r="L114">
        <v>35</v>
      </c>
      <c r="M114" t="str">
        <f t="shared" si="1"/>
        <v>Invalide</v>
      </c>
      <c r="N114" t="s">
        <v>18</v>
      </c>
    </row>
    <row r="115" spans="1:14" x14ac:dyDescent="0.25">
      <c r="A115">
        <v>29191</v>
      </c>
      <c r="B115" s="3" t="s">
        <v>37</v>
      </c>
      <c r="C115" t="s">
        <v>38</v>
      </c>
      <c r="D115" s="4">
        <v>130000</v>
      </c>
      <c r="E115">
        <v>1</v>
      </c>
      <c r="F115" t="s">
        <v>31</v>
      </c>
      <c r="G115" t="s">
        <v>28</v>
      </c>
      <c r="H115" t="s">
        <v>18</v>
      </c>
      <c r="I115">
        <v>1</v>
      </c>
      <c r="J115" t="s">
        <v>16</v>
      </c>
      <c r="K115" t="s">
        <v>24</v>
      </c>
      <c r="L115">
        <v>36</v>
      </c>
      <c r="M115" t="str">
        <f t="shared" si="1"/>
        <v>Invalide</v>
      </c>
      <c r="N115" t="s">
        <v>15</v>
      </c>
    </row>
    <row r="116" spans="1:14" x14ac:dyDescent="0.25">
      <c r="A116">
        <v>15030</v>
      </c>
      <c r="B116" s="3" t="s">
        <v>36</v>
      </c>
      <c r="C116" t="s">
        <v>39</v>
      </c>
      <c r="D116" s="4">
        <v>20000</v>
      </c>
      <c r="E116">
        <v>0</v>
      </c>
      <c r="F116" t="s">
        <v>13</v>
      </c>
      <c r="G116" t="s">
        <v>20</v>
      </c>
      <c r="H116" t="s">
        <v>15</v>
      </c>
      <c r="I116">
        <v>0</v>
      </c>
      <c r="J116" t="s">
        <v>16</v>
      </c>
      <c r="K116" t="s">
        <v>24</v>
      </c>
      <c r="L116">
        <v>26</v>
      </c>
      <c r="M116" t="str">
        <f t="shared" si="1"/>
        <v>Middle Age</v>
      </c>
      <c r="N116" t="s">
        <v>15</v>
      </c>
    </row>
    <row r="117" spans="1:14" x14ac:dyDescent="0.25">
      <c r="A117">
        <v>24140</v>
      </c>
      <c r="B117" s="3" t="s">
        <v>37</v>
      </c>
      <c r="C117" t="s">
        <v>39</v>
      </c>
      <c r="D117" s="4">
        <v>10000</v>
      </c>
      <c r="E117">
        <v>0</v>
      </c>
      <c r="F117" t="s">
        <v>31</v>
      </c>
      <c r="G117" t="s">
        <v>25</v>
      </c>
      <c r="H117" t="s">
        <v>18</v>
      </c>
      <c r="I117">
        <v>0</v>
      </c>
      <c r="J117" t="s">
        <v>16</v>
      </c>
      <c r="K117" t="s">
        <v>17</v>
      </c>
      <c r="L117">
        <v>30</v>
      </c>
      <c r="M117" t="str">
        <f t="shared" si="1"/>
        <v>Middle Age</v>
      </c>
      <c r="N117" t="s">
        <v>15</v>
      </c>
    </row>
    <row r="118" spans="1:14" x14ac:dyDescent="0.25">
      <c r="A118">
        <v>22496</v>
      </c>
      <c r="B118" s="3"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s="3" t="s">
        <v>37</v>
      </c>
      <c r="C119" t="s">
        <v>38</v>
      </c>
      <c r="D119" s="4">
        <v>20000</v>
      </c>
      <c r="E119">
        <v>0</v>
      </c>
      <c r="F119" t="s">
        <v>27</v>
      </c>
      <c r="G119" t="s">
        <v>25</v>
      </c>
      <c r="H119" t="s">
        <v>15</v>
      </c>
      <c r="I119">
        <v>0</v>
      </c>
      <c r="J119" t="s">
        <v>16</v>
      </c>
      <c r="K119" t="s">
        <v>17</v>
      </c>
      <c r="L119">
        <v>40</v>
      </c>
      <c r="M119" t="str">
        <f t="shared" si="1"/>
        <v>Invalide</v>
      </c>
      <c r="N119" t="s">
        <v>15</v>
      </c>
    </row>
    <row r="120" spans="1:14" x14ac:dyDescent="0.25">
      <c r="A120">
        <v>19914</v>
      </c>
      <c r="B120" s="3"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s="3" t="s">
        <v>37</v>
      </c>
      <c r="C121" t="s">
        <v>38</v>
      </c>
      <c r="D121" s="4">
        <v>30000</v>
      </c>
      <c r="E121">
        <v>0</v>
      </c>
      <c r="F121" t="s">
        <v>19</v>
      </c>
      <c r="G121" t="s">
        <v>20</v>
      </c>
      <c r="H121" t="s">
        <v>18</v>
      </c>
      <c r="I121">
        <v>1</v>
      </c>
      <c r="J121" t="s">
        <v>22</v>
      </c>
      <c r="K121" t="s">
        <v>17</v>
      </c>
      <c r="L121">
        <v>29</v>
      </c>
      <c r="M121" t="str">
        <f t="shared" si="1"/>
        <v>Middle Age</v>
      </c>
      <c r="N121" t="s">
        <v>18</v>
      </c>
    </row>
    <row r="122" spans="1:14" x14ac:dyDescent="0.25">
      <c r="A122">
        <v>22988</v>
      </c>
      <c r="B122" s="3"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s="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s="3"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25">
      <c r="A125">
        <v>23627</v>
      </c>
      <c r="B125" s="3"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s="3"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s="3"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s="3"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s="3"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s="3" t="s">
        <v>37</v>
      </c>
      <c r="C130" t="s">
        <v>39</v>
      </c>
      <c r="D130" s="4">
        <v>10000</v>
      </c>
      <c r="E130">
        <v>2</v>
      </c>
      <c r="F130" t="s">
        <v>19</v>
      </c>
      <c r="G130" t="s">
        <v>25</v>
      </c>
      <c r="H130" t="s">
        <v>15</v>
      </c>
      <c r="I130">
        <v>1</v>
      </c>
      <c r="J130" t="s">
        <v>16</v>
      </c>
      <c r="K130" t="s">
        <v>17</v>
      </c>
      <c r="L130">
        <v>52</v>
      </c>
      <c r="M130" t="str">
        <f t="shared" si="1"/>
        <v>Old</v>
      </c>
      <c r="N130" t="s">
        <v>15</v>
      </c>
    </row>
    <row r="131" spans="1:14" x14ac:dyDescent="0.25">
      <c r="A131">
        <v>26818</v>
      </c>
      <c r="B131" s="3" t="s">
        <v>37</v>
      </c>
      <c r="C131" t="s">
        <v>39</v>
      </c>
      <c r="D131" s="4">
        <v>10000</v>
      </c>
      <c r="E131">
        <v>3</v>
      </c>
      <c r="F131" t="s">
        <v>27</v>
      </c>
      <c r="G131" t="s">
        <v>25</v>
      </c>
      <c r="H131" t="s">
        <v>15</v>
      </c>
      <c r="I131">
        <v>1</v>
      </c>
      <c r="J131" t="s">
        <v>16</v>
      </c>
      <c r="K131" t="s">
        <v>17</v>
      </c>
      <c r="L131">
        <v>39</v>
      </c>
      <c r="M131" t="str">
        <f t="shared" ref="M131:M194" si="2">IF(L131&gt;51,"Old",IF(L133&gt;=31,"Middle Age",IF(L131&lt;31,"Adolescent","Invalide")))</f>
        <v>Middle Age</v>
      </c>
      <c r="N131" t="s">
        <v>15</v>
      </c>
    </row>
    <row r="132" spans="1:14" x14ac:dyDescent="0.25">
      <c r="A132">
        <v>12993</v>
      </c>
      <c r="B132" s="3"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s="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s="3"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s="3"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s="3"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s="3" t="s">
        <v>36</v>
      </c>
      <c r="C137" t="s">
        <v>39</v>
      </c>
      <c r="D137" s="4">
        <v>10000</v>
      </c>
      <c r="E137">
        <v>2</v>
      </c>
      <c r="F137" t="s">
        <v>19</v>
      </c>
      <c r="G137" t="s">
        <v>25</v>
      </c>
      <c r="H137" t="s">
        <v>15</v>
      </c>
      <c r="I137">
        <v>1</v>
      </c>
      <c r="J137" t="s">
        <v>22</v>
      </c>
      <c r="K137" t="s">
        <v>17</v>
      </c>
      <c r="L137">
        <v>52</v>
      </c>
      <c r="M137" t="str">
        <f t="shared" si="2"/>
        <v>Old</v>
      </c>
      <c r="N137" t="s">
        <v>18</v>
      </c>
    </row>
    <row r="138" spans="1:14" x14ac:dyDescent="0.25">
      <c r="A138">
        <v>28683</v>
      </c>
      <c r="B138" s="3"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s="3"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s="3" t="s">
        <v>36</v>
      </c>
      <c r="C140" t="s">
        <v>38</v>
      </c>
      <c r="D140" s="4">
        <v>20000</v>
      </c>
      <c r="E140">
        <v>2</v>
      </c>
      <c r="F140" t="s">
        <v>29</v>
      </c>
      <c r="G140" t="s">
        <v>20</v>
      </c>
      <c r="H140" t="s">
        <v>15</v>
      </c>
      <c r="I140">
        <v>2</v>
      </c>
      <c r="J140" t="s">
        <v>23</v>
      </c>
      <c r="K140" t="s">
        <v>24</v>
      </c>
      <c r="L140">
        <v>55</v>
      </c>
      <c r="M140" t="str">
        <f t="shared" si="2"/>
        <v>Old</v>
      </c>
      <c r="N140" t="s">
        <v>15</v>
      </c>
    </row>
    <row r="141" spans="1:14" x14ac:dyDescent="0.25">
      <c r="A141">
        <v>26547</v>
      </c>
      <c r="B141" s="3"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s="3"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s="3" t="s">
        <v>37</v>
      </c>
      <c r="C143" t="s">
        <v>38</v>
      </c>
      <c r="D143" s="4">
        <v>10000</v>
      </c>
      <c r="E143">
        <v>0</v>
      </c>
      <c r="F143" t="s">
        <v>19</v>
      </c>
      <c r="G143" t="s">
        <v>25</v>
      </c>
      <c r="H143" t="s">
        <v>18</v>
      </c>
      <c r="I143">
        <v>1</v>
      </c>
      <c r="J143" t="s">
        <v>16</v>
      </c>
      <c r="K143" t="s">
        <v>24</v>
      </c>
      <c r="L143">
        <v>26</v>
      </c>
      <c r="M143" t="str">
        <f t="shared" si="2"/>
        <v>Middle Age</v>
      </c>
      <c r="N143" t="s">
        <v>15</v>
      </c>
    </row>
    <row r="144" spans="1:14" x14ac:dyDescent="0.25">
      <c r="A144">
        <v>14832</v>
      </c>
      <c r="B144" s="3"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s="3"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25">
      <c r="A146">
        <v>20877</v>
      </c>
      <c r="B146" s="3"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s="3"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s="3"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s="3" t="s">
        <v>36</v>
      </c>
      <c r="C149" t="s">
        <v>38</v>
      </c>
      <c r="D149" s="4">
        <v>40000</v>
      </c>
      <c r="E149">
        <v>0</v>
      </c>
      <c r="F149" t="s">
        <v>13</v>
      </c>
      <c r="G149" t="s">
        <v>21</v>
      </c>
      <c r="H149" t="s">
        <v>18</v>
      </c>
      <c r="I149">
        <v>0</v>
      </c>
      <c r="J149" t="s">
        <v>16</v>
      </c>
      <c r="K149" t="s">
        <v>17</v>
      </c>
      <c r="L149">
        <v>40</v>
      </c>
      <c r="M149" t="str">
        <f t="shared" si="2"/>
        <v>Invalide</v>
      </c>
      <c r="N149" t="s">
        <v>15</v>
      </c>
    </row>
    <row r="150" spans="1:14" x14ac:dyDescent="0.25">
      <c r="A150">
        <v>19675</v>
      </c>
      <c r="B150" s="3"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s="3" t="s">
        <v>37</v>
      </c>
      <c r="C151" t="s">
        <v>39</v>
      </c>
      <c r="D151" s="4">
        <v>30000</v>
      </c>
      <c r="E151">
        <v>0</v>
      </c>
      <c r="F151" t="s">
        <v>19</v>
      </c>
      <c r="G151" t="s">
        <v>20</v>
      </c>
      <c r="H151" t="s">
        <v>18</v>
      </c>
      <c r="I151">
        <v>1</v>
      </c>
      <c r="J151" t="s">
        <v>26</v>
      </c>
      <c r="K151" t="s">
        <v>17</v>
      </c>
      <c r="L151">
        <v>27</v>
      </c>
      <c r="M151" t="str">
        <f t="shared" si="2"/>
        <v>Middle Age</v>
      </c>
      <c r="N151" t="s">
        <v>18</v>
      </c>
    </row>
    <row r="152" spans="1:14" x14ac:dyDescent="0.25">
      <c r="A152">
        <v>26154</v>
      </c>
      <c r="B152" s="3"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s="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s="3"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s="3"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s="3"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s="3"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s="3"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s="3"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s="3" t="s">
        <v>37</v>
      </c>
      <c r="C160" t="s">
        <v>38</v>
      </c>
      <c r="D160" s="4">
        <v>20000</v>
      </c>
      <c r="E160">
        <v>2</v>
      </c>
      <c r="F160" t="s">
        <v>19</v>
      </c>
      <c r="G160" t="s">
        <v>25</v>
      </c>
      <c r="H160" t="s">
        <v>18</v>
      </c>
      <c r="I160">
        <v>1</v>
      </c>
      <c r="J160" t="s">
        <v>16</v>
      </c>
      <c r="K160" t="s">
        <v>17</v>
      </c>
      <c r="L160">
        <v>54</v>
      </c>
      <c r="M160" t="str">
        <f t="shared" si="2"/>
        <v>Old</v>
      </c>
      <c r="N160" t="s">
        <v>15</v>
      </c>
    </row>
    <row r="161" spans="1:14" x14ac:dyDescent="0.25">
      <c r="A161">
        <v>20797</v>
      </c>
      <c r="B161" s="3"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s="3"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s="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s="3" t="s">
        <v>37</v>
      </c>
      <c r="C164" t="s">
        <v>38</v>
      </c>
      <c r="D164" s="4">
        <v>60000</v>
      </c>
      <c r="E164">
        <v>2</v>
      </c>
      <c r="F164" t="s">
        <v>13</v>
      </c>
      <c r="G164" t="s">
        <v>21</v>
      </c>
      <c r="H164" t="s">
        <v>18</v>
      </c>
      <c r="I164">
        <v>1</v>
      </c>
      <c r="J164" t="s">
        <v>16</v>
      </c>
      <c r="K164" t="s">
        <v>24</v>
      </c>
      <c r="L164">
        <v>38</v>
      </c>
      <c r="M164" t="str">
        <f t="shared" si="2"/>
        <v>Invalide</v>
      </c>
      <c r="N164" t="s">
        <v>15</v>
      </c>
    </row>
    <row r="165" spans="1:14" x14ac:dyDescent="0.25">
      <c r="A165">
        <v>24279</v>
      </c>
      <c r="B165" s="3" t="s">
        <v>37</v>
      </c>
      <c r="C165" t="s">
        <v>39</v>
      </c>
      <c r="D165" s="4">
        <v>40000</v>
      </c>
      <c r="E165">
        <v>2</v>
      </c>
      <c r="F165" t="s">
        <v>19</v>
      </c>
      <c r="G165" t="s">
        <v>14</v>
      </c>
      <c r="H165" t="s">
        <v>18</v>
      </c>
      <c r="I165">
        <v>2</v>
      </c>
      <c r="J165" t="s">
        <v>26</v>
      </c>
      <c r="K165" t="s">
        <v>24</v>
      </c>
      <c r="L165">
        <v>52</v>
      </c>
      <c r="M165" t="str">
        <f t="shared" si="2"/>
        <v>Old</v>
      </c>
      <c r="N165" t="s">
        <v>18</v>
      </c>
    </row>
    <row r="166" spans="1:14" x14ac:dyDescent="0.25">
      <c r="A166">
        <v>22402</v>
      </c>
      <c r="B166" s="3" t="s">
        <v>36</v>
      </c>
      <c r="C166" t="s">
        <v>39</v>
      </c>
      <c r="D166" s="4">
        <v>10000</v>
      </c>
      <c r="E166">
        <v>0</v>
      </c>
      <c r="F166" t="s">
        <v>19</v>
      </c>
      <c r="G166" t="s">
        <v>25</v>
      </c>
      <c r="H166" t="s">
        <v>15</v>
      </c>
      <c r="I166">
        <v>1</v>
      </c>
      <c r="J166" t="s">
        <v>22</v>
      </c>
      <c r="K166" t="s">
        <v>24</v>
      </c>
      <c r="L166">
        <v>25</v>
      </c>
      <c r="M166" t="str">
        <f t="shared" si="2"/>
        <v>Middle Age</v>
      </c>
      <c r="N166" t="s">
        <v>15</v>
      </c>
    </row>
    <row r="167" spans="1:14" x14ac:dyDescent="0.25">
      <c r="A167">
        <v>15465</v>
      </c>
      <c r="B167" s="3" t="s">
        <v>36</v>
      </c>
      <c r="C167" t="s">
        <v>38</v>
      </c>
      <c r="D167" s="4">
        <v>10000</v>
      </c>
      <c r="E167">
        <v>0</v>
      </c>
      <c r="F167" t="s">
        <v>19</v>
      </c>
      <c r="G167" t="s">
        <v>25</v>
      </c>
      <c r="H167" t="s">
        <v>18</v>
      </c>
      <c r="I167">
        <v>1</v>
      </c>
      <c r="J167" t="s">
        <v>16</v>
      </c>
      <c r="K167" t="s">
        <v>24</v>
      </c>
      <c r="L167">
        <v>25</v>
      </c>
      <c r="M167" t="str">
        <f t="shared" si="2"/>
        <v>Middle Age</v>
      </c>
      <c r="N167" t="s">
        <v>18</v>
      </c>
    </row>
    <row r="168" spans="1:14" x14ac:dyDescent="0.25">
      <c r="A168">
        <v>26757</v>
      </c>
      <c r="B168" s="3"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s="3"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25">
      <c r="A170">
        <v>14058</v>
      </c>
      <c r="B170" s="3"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s="3"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s="3"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s="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s="3"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s="3" t="s">
        <v>36</v>
      </c>
      <c r="C175" t="s">
        <v>38</v>
      </c>
      <c r="D175" s="4">
        <v>10000</v>
      </c>
      <c r="E175">
        <v>0</v>
      </c>
      <c r="F175" t="s">
        <v>19</v>
      </c>
      <c r="G175" t="s">
        <v>25</v>
      </c>
      <c r="H175" t="s">
        <v>15</v>
      </c>
      <c r="I175">
        <v>1</v>
      </c>
      <c r="J175" t="s">
        <v>22</v>
      </c>
      <c r="K175" t="s">
        <v>24</v>
      </c>
      <c r="L175">
        <v>27</v>
      </c>
      <c r="M175" t="str">
        <f t="shared" si="2"/>
        <v>Middle Age</v>
      </c>
      <c r="N175" t="s">
        <v>18</v>
      </c>
    </row>
    <row r="176" spans="1:14" x14ac:dyDescent="0.25">
      <c r="A176">
        <v>19442</v>
      </c>
      <c r="B176" s="3" t="s">
        <v>37</v>
      </c>
      <c r="C176" t="s">
        <v>39</v>
      </c>
      <c r="D176" s="4">
        <v>50000</v>
      </c>
      <c r="E176">
        <v>0</v>
      </c>
      <c r="F176" t="s">
        <v>31</v>
      </c>
      <c r="G176" t="s">
        <v>14</v>
      </c>
      <c r="H176" t="s">
        <v>15</v>
      </c>
      <c r="I176">
        <v>0</v>
      </c>
      <c r="J176" t="s">
        <v>16</v>
      </c>
      <c r="K176" t="s">
        <v>17</v>
      </c>
      <c r="L176">
        <v>37</v>
      </c>
      <c r="M176" t="str">
        <f t="shared" si="2"/>
        <v>Invalide</v>
      </c>
      <c r="N176" t="s">
        <v>15</v>
      </c>
    </row>
    <row r="177" spans="1:14" x14ac:dyDescent="0.25">
      <c r="A177">
        <v>17504</v>
      </c>
      <c r="B177" s="3" t="s">
        <v>37</v>
      </c>
      <c r="C177" t="s">
        <v>38</v>
      </c>
      <c r="D177" s="4">
        <v>80000</v>
      </c>
      <c r="E177">
        <v>2</v>
      </c>
      <c r="F177" t="s">
        <v>19</v>
      </c>
      <c r="G177" t="s">
        <v>14</v>
      </c>
      <c r="H177" t="s">
        <v>15</v>
      </c>
      <c r="I177">
        <v>2</v>
      </c>
      <c r="J177" t="s">
        <v>23</v>
      </c>
      <c r="K177" t="s">
        <v>24</v>
      </c>
      <c r="L177">
        <v>52</v>
      </c>
      <c r="M177" t="str">
        <f t="shared" si="2"/>
        <v>Old</v>
      </c>
      <c r="N177" t="s">
        <v>15</v>
      </c>
    </row>
    <row r="178" spans="1:14" x14ac:dyDescent="0.25">
      <c r="A178">
        <v>12253</v>
      </c>
      <c r="B178" s="3" t="s">
        <v>37</v>
      </c>
      <c r="C178" t="s">
        <v>38</v>
      </c>
      <c r="D178" s="4">
        <v>20000</v>
      </c>
      <c r="E178">
        <v>0</v>
      </c>
      <c r="F178" t="s">
        <v>19</v>
      </c>
      <c r="G178" t="s">
        <v>25</v>
      </c>
      <c r="H178" t="s">
        <v>15</v>
      </c>
      <c r="I178">
        <v>0</v>
      </c>
      <c r="J178" t="s">
        <v>16</v>
      </c>
      <c r="K178" t="s">
        <v>24</v>
      </c>
      <c r="L178">
        <v>29</v>
      </c>
      <c r="M178" t="str">
        <f t="shared" si="2"/>
        <v>Middle Age</v>
      </c>
      <c r="N178" t="s">
        <v>15</v>
      </c>
    </row>
    <row r="179" spans="1:14" x14ac:dyDescent="0.25">
      <c r="A179">
        <v>27304</v>
      </c>
      <c r="B179" s="3"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s="3" t="s">
        <v>36</v>
      </c>
      <c r="C180" t="s">
        <v>39</v>
      </c>
      <c r="D180" s="4">
        <v>160000</v>
      </c>
      <c r="E180">
        <v>4</v>
      </c>
      <c r="F180" t="s">
        <v>19</v>
      </c>
      <c r="G180" t="s">
        <v>21</v>
      </c>
      <c r="H180" t="s">
        <v>18</v>
      </c>
      <c r="I180">
        <v>2</v>
      </c>
      <c r="J180" t="s">
        <v>46</v>
      </c>
      <c r="K180" t="s">
        <v>17</v>
      </c>
      <c r="L180">
        <v>55</v>
      </c>
      <c r="M180" t="str">
        <f t="shared" si="2"/>
        <v>Old</v>
      </c>
      <c r="N180" t="s">
        <v>15</v>
      </c>
    </row>
    <row r="181" spans="1:14" x14ac:dyDescent="0.25">
      <c r="A181">
        <v>12212</v>
      </c>
      <c r="B181" s="3"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s="3"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s="3" t="s">
        <v>36</v>
      </c>
      <c r="C183" t="s">
        <v>38</v>
      </c>
      <c r="D183" s="4">
        <v>30000</v>
      </c>
      <c r="E183">
        <v>3</v>
      </c>
      <c r="F183" t="s">
        <v>19</v>
      </c>
      <c r="G183" t="s">
        <v>20</v>
      </c>
      <c r="H183" t="s">
        <v>18</v>
      </c>
      <c r="I183">
        <v>2</v>
      </c>
      <c r="J183" t="s">
        <v>26</v>
      </c>
      <c r="K183" t="s">
        <v>24</v>
      </c>
      <c r="L183">
        <v>55</v>
      </c>
      <c r="M183" t="str">
        <f t="shared" si="2"/>
        <v>Old</v>
      </c>
      <c r="N183" t="s">
        <v>15</v>
      </c>
    </row>
    <row r="184" spans="1:14" x14ac:dyDescent="0.25">
      <c r="A184">
        <v>19445</v>
      </c>
      <c r="B184" s="3"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s="3"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s="3" t="s">
        <v>36</v>
      </c>
      <c r="C186" t="s">
        <v>38</v>
      </c>
      <c r="D186" s="4">
        <v>130000</v>
      </c>
      <c r="E186">
        <v>4</v>
      </c>
      <c r="F186" t="s">
        <v>27</v>
      </c>
      <c r="G186" t="s">
        <v>28</v>
      </c>
      <c r="H186" t="s">
        <v>18</v>
      </c>
      <c r="I186">
        <v>4</v>
      </c>
      <c r="J186" t="s">
        <v>46</v>
      </c>
      <c r="K186" t="s">
        <v>17</v>
      </c>
      <c r="L186">
        <v>58</v>
      </c>
      <c r="M186" t="str">
        <f t="shared" si="2"/>
        <v>Old</v>
      </c>
      <c r="N186" t="s">
        <v>18</v>
      </c>
    </row>
    <row r="187" spans="1:14" x14ac:dyDescent="0.25">
      <c r="A187">
        <v>15799</v>
      </c>
      <c r="B187" s="3"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s="3"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s="3" t="s">
        <v>37</v>
      </c>
      <c r="C189" t="s">
        <v>39</v>
      </c>
      <c r="D189" s="4">
        <v>80000</v>
      </c>
      <c r="E189">
        <v>5</v>
      </c>
      <c r="F189" t="s">
        <v>19</v>
      </c>
      <c r="G189" t="s">
        <v>21</v>
      </c>
      <c r="H189" t="s">
        <v>18</v>
      </c>
      <c r="I189">
        <v>2</v>
      </c>
      <c r="J189" t="s">
        <v>46</v>
      </c>
      <c r="K189" t="s">
        <v>17</v>
      </c>
      <c r="L189">
        <v>59</v>
      </c>
      <c r="M189" t="str">
        <f t="shared" si="2"/>
        <v>Old</v>
      </c>
      <c r="N189" t="s">
        <v>18</v>
      </c>
    </row>
    <row r="190" spans="1:14" x14ac:dyDescent="0.25">
      <c r="A190">
        <v>20606</v>
      </c>
      <c r="B190" s="3"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25">
      <c r="A191">
        <v>19482</v>
      </c>
      <c r="B191" s="3"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s="3" t="s">
        <v>36</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s="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s="3" t="s">
        <v>37</v>
      </c>
      <c r="C194" t="s">
        <v>38</v>
      </c>
      <c r="D194" s="4">
        <v>80000</v>
      </c>
      <c r="E194">
        <v>5</v>
      </c>
      <c r="F194" t="s">
        <v>13</v>
      </c>
      <c r="G194" t="s">
        <v>28</v>
      </c>
      <c r="H194" t="s">
        <v>15</v>
      </c>
      <c r="I194">
        <v>2</v>
      </c>
      <c r="J194" t="s">
        <v>46</v>
      </c>
      <c r="K194" t="s">
        <v>17</v>
      </c>
      <c r="L194">
        <v>62</v>
      </c>
      <c r="M194" t="str">
        <f t="shared" si="2"/>
        <v>Old</v>
      </c>
      <c r="N194" t="s">
        <v>18</v>
      </c>
    </row>
    <row r="195" spans="1:14" x14ac:dyDescent="0.25">
      <c r="A195">
        <v>26032</v>
      </c>
      <c r="B195" s="3" t="s">
        <v>36</v>
      </c>
      <c r="C195" t="s">
        <v>38</v>
      </c>
      <c r="D195" s="4">
        <v>70000</v>
      </c>
      <c r="E195">
        <v>5</v>
      </c>
      <c r="F195" t="s">
        <v>13</v>
      </c>
      <c r="G195" t="s">
        <v>21</v>
      </c>
      <c r="H195" t="s">
        <v>15</v>
      </c>
      <c r="I195">
        <v>4</v>
      </c>
      <c r="J195" t="s">
        <v>46</v>
      </c>
      <c r="K195" t="s">
        <v>24</v>
      </c>
      <c r="L195">
        <v>41</v>
      </c>
      <c r="M195" t="str">
        <f t="shared" ref="M195:M258" si="3">IF(L195&gt;51,"Old",IF(L197&gt;=31,"Middle Age",IF(L195&lt;31,"Adolescent","Invalide")))</f>
        <v>Invalide</v>
      </c>
      <c r="N195" t="s">
        <v>18</v>
      </c>
    </row>
    <row r="196" spans="1:14" x14ac:dyDescent="0.25">
      <c r="A196">
        <v>17843</v>
      </c>
      <c r="B196" s="3"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s="3" t="s">
        <v>37</v>
      </c>
      <c r="C197" t="s">
        <v>39</v>
      </c>
      <c r="D197" s="4">
        <v>20000</v>
      </c>
      <c r="E197">
        <v>0</v>
      </c>
      <c r="F197" t="s">
        <v>13</v>
      </c>
      <c r="G197" t="s">
        <v>20</v>
      </c>
      <c r="H197" t="s">
        <v>15</v>
      </c>
      <c r="I197">
        <v>0</v>
      </c>
      <c r="J197" t="s">
        <v>16</v>
      </c>
      <c r="K197" t="s">
        <v>24</v>
      </c>
      <c r="L197">
        <v>25</v>
      </c>
      <c r="M197" t="str">
        <f t="shared" si="3"/>
        <v>Middle Age</v>
      </c>
      <c r="N197" t="s">
        <v>15</v>
      </c>
    </row>
    <row r="198" spans="1:14" x14ac:dyDescent="0.25">
      <c r="A198">
        <v>16209</v>
      </c>
      <c r="B198" s="3"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s="3"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s="3"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s="3" t="s">
        <v>37</v>
      </c>
      <c r="C201" t="s">
        <v>39</v>
      </c>
      <c r="D201" s="4">
        <v>80000</v>
      </c>
      <c r="E201">
        <v>0</v>
      </c>
      <c r="F201" t="s">
        <v>13</v>
      </c>
      <c r="G201" t="s">
        <v>21</v>
      </c>
      <c r="H201" t="s">
        <v>18</v>
      </c>
      <c r="I201">
        <v>3</v>
      </c>
      <c r="J201" t="s">
        <v>46</v>
      </c>
      <c r="K201" t="s">
        <v>24</v>
      </c>
      <c r="L201">
        <v>33</v>
      </c>
      <c r="M201" t="str">
        <f t="shared" si="3"/>
        <v>Invalide</v>
      </c>
      <c r="N201" t="s">
        <v>15</v>
      </c>
    </row>
    <row r="202" spans="1:14" x14ac:dyDescent="0.25">
      <c r="A202">
        <v>24584</v>
      </c>
      <c r="B202" s="3"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s="3" t="s">
        <v>36</v>
      </c>
      <c r="C203" t="s">
        <v>39</v>
      </c>
      <c r="D203" s="4">
        <v>10000</v>
      </c>
      <c r="E203">
        <v>1</v>
      </c>
      <c r="F203" t="s">
        <v>27</v>
      </c>
      <c r="G203" t="s">
        <v>25</v>
      </c>
      <c r="H203" t="s">
        <v>15</v>
      </c>
      <c r="I203">
        <v>0</v>
      </c>
      <c r="J203" t="s">
        <v>22</v>
      </c>
      <c r="K203" t="s">
        <v>24</v>
      </c>
      <c r="L203">
        <v>27</v>
      </c>
      <c r="M203" t="str">
        <f t="shared" si="3"/>
        <v>Middle Age</v>
      </c>
      <c r="N203" t="s">
        <v>15</v>
      </c>
    </row>
    <row r="204" spans="1:14" x14ac:dyDescent="0.25">
      <c r="A204">
        <v>18626</v>
      </c>
      <c r="B204" s="3"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s="3"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s="3"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s="3" t="s">
        <v>36</v>
      </c>
      <c r="C207" t="s">
        <v>39</v>
      </c>
      <c r="D207" s="4">
        <v>30000</v>
      </c>
      <c r="E207">
        <v>3</v>
      </c>
      <c r="F207" t="s">
        <v>31</v>
      </c>
      <c r="G207" t="s">
        <v>20</v>
      </c>
      <c r="H207" t="s">
        <v>15</v>
      </c>
      <c r="I207">
        <v>0</v>
      </c>
      <c r="J207" t="s">
        <v>16</v>
      </c>
      <c r="K207" t="s">
        <v>17</v>
      </c>
      <c r="L207">
        <v>46</v>
      </c>
      <c r="M207" t="str">
        <f t="shared" si="3"/>
        <v>Invalide</v>
      </c>
      <c r="N207" t="s">
        <v>15</v>
      </c>
    </row>
    <row r="208" spans="1:14" x14ac:dyDescent="0.25">
      <c r="A208">
        <v>11415</v>
      </c>
      <c r="B208" s="3" t="s">
        <v>37</v>
      </c>
      <c r="C208" t="s">
        <v>39</v>
      </c>
      <c r="D208" s="4">
        <v>90000</v>
      </c>
      <c r="E208">
        <v>5</v>
      </c>
      <c r="F208" t="s">
        <v>19</v>
      </c>
      <c r="G208" t="s">
        <v>21</v>
      </c>
      <c r="H208" t="s">
        <v>18</v>
      </c>
      <c r="I208">
        <v>2</v>
      </c>
      <c r="J208" t="s">
        <v>46</v>
      </c>
      <c r="K208" t="s">
        <v>17</v>
      </c>
      <c r="L208">
        <v>62</v>
      </c>
      <c r="M208" t="str">
        <f t="shared" si="3"/>
        <v>Old</v>
      </c>
      <c r="N208" t="s">
        <v>18</v>
      </c>
    </row>
    <row r="209" spans="1:14" x14ac:dyDescent="0.25">
      <c r="A209">
        <v>28729</v>
      </c>
      <c r="B209" s="3" t="s">
        <v>37</v>
      </c>
      <c r="C209" t="s">
        <v>38</v>
      </c>
      <c r="D209" s="4">
        <v>20000</v>
      </c>
      <c r="E209">
        <v>0</v>
      </c>
      <c r="F209" t="s">
        <v>29</v>
      </c>
      <c r="G209" t="s">
        <v>25</v>
      </c>
      <c r="H209" t="s">
        <v>15</v>
      </c>
      <c r="I209">
        <v>2</v>
      </c>
      <c r="J209" t="s">
        <v>26</v>
      </c>
      <c r="K209" t="s">
        <v>17</v>
      </c>
      <c r="L209">
        <v>26</v>
      </c>
      <c r="M209" t="str">
        <f t="shared" si="3"/>
        <v>Middle Age</v>
      </c>
      <c r="N209" t="s">
        <v>15</v>
      </c>
    </row>
    <row r="210" spans="1:14" x14ac:dyDescent="0.25">
      <c r="A210">
        <v>22633</v>
      </c>
      <c r="B210" s="3"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s="3"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s="3" t="s">
        <v>36</v>
      </c>
      <c r="C212" t="s">
        <v>38</v>
      </c>
      <c r="D212" s="4">
        <v>80000</v>
      </c>
      <c r="E212">
        <v>4</v>
      </c>
      <c r="F212" t="s">
        <v>31</v>
      </c>
      <c r="G212" t="s">
        <v>28</v>
      </c>
      <c r="H212" t="s">
        <v>15</v>
      </c>
      <c r="I212">
        <v>1</v>
      </c>
      <c r="J212" t="s">
        <v>16</v>
      </c>
      <c r="K212" t="s">
        <v>24</v>
      </c>
      <c r="L212">
        <v>36</v>
      </c>
      <c r="M212" t="str">
        <f t="shared" si="3"/>
        <v>Invalide</v>
      </c>
      <c r="N212" t="s">
        <v>18</v>
      </c>
    </row>
    <row r="213" spans="1:14" x14ac:dyDescent="0.25">
      <c r="A213">
        <v>19299</v>
      </c>
      <c r="B213" s="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s="3" t="s">
        <v>37</v>
      </c>
      <c r="C214" t="s">
        <v>38</v>
      </c>
      <c r="D214" s="4">
        <v>30000</v>
      </c>
      <c r="E214">
        <v>0</v>
      </c>
      <c r="F214" t="s">
        <v>19</v>
      </c>
      <c r="G214" t="s">
        <v>20</v>
      </c>
      <c r="H214" t="s">
        <v>18</v>
      </c>
      <c r="I214">
        <v>1</v>
      </c>
      <c r="J214" t="s">
        <v>22</v>
      </c>
      <c r="K214" t="s">
        <v>17</v>
      </c>
      <c r="L214">
        <v>30</v>
      </c>
      <c r="M214" t="str">
        <f t="shared" si="3"/>
        <v>Middle Age</v>
      </c>
      <c r="N214" t="s">
        <v>18</v>
      </c>
    </row>
    <row r="215" spans="1:14" x14ac:dyDescent="0.25">
      <c r="A215">
        <v>11451</v>
      </c>
      <c r="B215" s="3"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25">
      <c r="A216">
        <v>25553</v>
      </c>
      <c r="B216" s="3"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s="3" t="s">
        <v>37</v>
      </c>
      <c r="C217" t="s">
        <v>39</v>
      </c>
      <c r="D217" s="4">
        <v>80000</v>
      </c>
      <c r="E217">
        <v>4</v>
      </c>
      <c r="F217" t="s">
        <v>19</v>
      </c>
      <c r="G217" t="s">
        <v>21</v>
      </c>
      <c r="H217" t="s">
        <v>18</v>
      </c>
      <c r="I217">
        <v>2</v>
      </c>
      <c r="J217" t="s">
        <v>22</v>
      </c>
      <c r="K217" t="s">
        <v>17</v>
      </c>
      <c r="L217">
        <v>54</v>
      </c>
      <c r="M217" t="str">
        <f t="shared" si="3"/>
        <v>Old</v>
      </c>
      <c r="N217" t="s">
        <v>15</v>
      </c>
    </row>
    <row r="218" spans="1:14" x14ac:dyDescent="0.25">
      <c r="A218">
        <v>25026</v>
      </c>
      <c r="B218" s="3" t="s">
        <v>36</v>
      </c>
      <c r="C218" t="s">
        <v>39</v>
      </c>
      <c r="D218" s="4">
        <v>20000</v>
      </c>
      <c r="E218">
        <v>2</v>
      </c>
      <c r="F218" t="s">
        <v>29</v>
      </c>
      <c r="G218" t="s">
        <v>20</v>
      </c>
      <c r="H218" t="s">
        <v>15</v>
      </c>
      <c r="I218">
        <v>3</v>
      </c>
      <c r="J218" t="s">
        <v>23</v>
      </c>
      <c r="K218" t="s">
        <v>24</v>
      </c>
      <c r="L218">
        <v>54</v>
      </c>
      <c r="M218" t="str">
        <f t="shared" si="3"/>
        <v>Old</v>
      </c>
      <c r="N218" t="s">
        <v>18</v>
      </c>
    </row>
    <row r="219" spans="1:14" x14ac:dyDescent="0.25">
      <c r="A219">
        <v>13673</v>
      </c>
      <c r="B219" s="3"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s="3"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s="3" t="s">
        <v>37</v>
      </c>
      <c r="C221" t="s">
        <v>39</v>
      </c>
      <c r="D221" s="4">
        <v>10000</v>
      </c>
      <c r="E221">
        <v>0</v>
      </c>
      <c r="F221" t="s">
        <v>19</v>
      </c>
      <c r="G221" t="s">
        <v>25</v>
      </c>
      <c r="H221" t="s">
        <v>15</v>
      </c>
      <c r="I221">
        <v>1</v>
      </c>
      <c r="J221" t="s">
        <v>26</v>
      </c>
      <c r="K221" t="s">
        <v>24</v>
      </c>
      <c r="L221">
        <v>26</v>
      </c>
      <c r="M221" t="str">
        <f t="shared" si="3"/>
        <v>Middle Age</v>
      </c>
      <c r="N221" t="s">
        <v>15</v>
      </c>
    </row>
    <row r="222" spans="1:14" x14ac:dyDescent="0.25">
      <c r="A222">
        <v>27696</v>
      </c>
      <c r="B222" s="3"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s="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s="3"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s="3"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25">
      <c r="A226">
        <v>19650</v>
      </c>
      <c r="B226" s="3"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s="3"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s="3"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s="3"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s="3"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s="3" t="s">
        <v>37</v>
      </c>
      <c r="C231" t="s">
        <v>39</v>
      </c>
      <c r="D231" s="4">
        <v>80000</v>
      </c>
      <c r="E231">
        <v>5</v>
      </c>
      <c r="F231" t="s">
        <v>27</v>
      </c>
      <c r="G231" t="s">
        <v>28</v>
      </c>
      <c r="H231" t="s">
        <v>15</v>
      </c>
      <c r="I231">
        <v>3</v>
      </c>
      <c r="J231" t="s">
        <v>46</v>
      </c>
      <c r="K231" t="s">
        <v>17</v>
      </c>
      <c r="L231">
        <v>57</v>
      </c>
      <c r="M231" t="str">
        <f t="shared" si="3"/>
        <v>Old</v>
      </c>
      <c r="N231" t="s">
        <v>18</v>
      </c>
    </row>
    <row r="232" spans="1:14" x14ac:dyDescent="0.25">
      <c r="A232">
        <v>22830</v>
      </c>
      <c r="B232" s="3" t="s">
        <v>36</v>
      </c>
      <c r="C232" t="s">
        <v>39</v>
      </c>
      <c r="D232" s="4">
        <v>120000</v>
      </c>
      <c r="E232">
        <v>4</v>
      </c>
      <c r="F232" t="s">
        <v>19</v>
      </c>
      <c r="G232" t="s">
        <v>28</v>
      </c>
      <c r="H232" t="s">
        <v>15</v>
      </c>
      <c r="I232">
        <v>3</v>
      </c>
      <c r="J232" t="s">
        <v>46</v>
      </c>
      <c r="K232" t="s">
        <v>17</v>
      </c>
      <c r="L232">
        <v>56</v>
      </c>
      <c r="M232" t="str">
        <f t="shared" si="3"/>
        <v>Old</v>
      </c>
      <c r="N232" t="s">
        <v>18</v>
      </c>
    </row>
    <row r="233" spans="1:14" x14ac:dyDescent="0.25">
      <c r="A233">
        <v>14777</v>
      </c>
      <c r="B233" s="3" t="s">
        <v>36</v>
      </c>
      <c r="C233" t="s">
        <v>38</v>
      </c>
      <c r="D233" s="4">
        <v>40000</v>
      </c>
      <c r="E233">
        <v>0</v>
      </c>
      <c r="F233" t="s">
        <v>13</v>
      </c>
      <c r="G233" t="s">
        <v>20</v>
      </c>
      <c r="H233" t="s">
        <v>15</v>
      </c>
      <c r="I233">
        <v>0</v>
      </c>
      <c r="J233" t="s">
        <v>16</v>
      </c>
      <c r="K233" t="s">
        <v>17</v>
      </c>
      <c r="L233">
        <v>38</v>
      </c>
      <c r="M233" t="str">
        <f t="shared" si="3"/>
        <v>Invalide</v>
      </c>
      <c r="N233" t="s">
        <v>15</v>
      </c>
    </row>
    <row r="234" spans="1:14" x14ac:dyDescent="0.25">
      <c r="A234">
        <v>12591</v>
      </c>
      <c r="B234" s="3"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s="3" t="s">
        <v>36</v>
      </c>
      <c r="C235" t="s">
        <v>39</v>
      </c>
      <c r="D235" s="4">
        <v>20000</v>
      </c>
      <c r="E235">
        <v>0</v>
      </c>
      <c r="F235" t="s">
        <v>13</v>
      </c>
      <c r="G235" t="s">
        <v>20</v>
      </c>
      <c r="H235" t="s">
        <v>15</v>
      </c>
      <c r="I235">
        <v>0</v>
      </c>
      <c r="J235" t="s">
        <v>16</v>
      </c>
      <c r="K235" t="s">
        <v>24</v>
      </c>
      <c r="L235">
        <v>27</v>
      </c>
      <c r="M235" t="str">
        <f t="shared" si="3"/>
        <v>Middle Age</v>
      </c>
      <c r="N235" t="s">
        <v>15</v>
      </c>
    </row>
    <row r="236" spans="1:14" x14ac:dyDescent="0.25">
      <c r="A236">
        <v>24611</v>
      </c>
      <c r="B236" s="3"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25">
      <c r="A237">
        <v>11340</v>
      </c>
      <c r="B237" s="3"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s="3"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s="3" t="s">
        <v>36</v>
      </c>
      <c r="C239" t="s">
        <v>38</v>
      </c>
      <c r="D239" s="4">
        <v>10000</v>
      </c>
      <c r="E239">
        <v>0</v>
      </c>
      <c r="F239" t="s">
        <v>19</v>
      </c>
      <c r="G239" t="s">
        <v>25</v>
      </c>
      <c r="H239" t="s">
        <v>18</v>
      </c>
      <c r="I239">
        <v>1</v>
      </c>
      <c r="J239" t="s">
        <v>16</v>
      </c>
      <c r="K239" t="s">
        <v>24</v>
      </c>
      <c r="L239">
        <v>26</v>
      </c>
      <c r="M239" t="str">
        <f t="shared" si="3"/>
        <v>Middle Age</v>
      </c>
      <c r="N239" t="s">
        <v>15</v>
      </c>
    </row>
    <row r="240" spans="1:14" x14ac:dyDescent="0.25">
      <c r="A240">
        <v>22006</v>
      </c>
      <c r="B240" s="3"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s="3" t="s">
        <v>37</v>
      </c>
      <c r="C241" t="s">
        <v>38</v>
      </c>
      <c r="D241" s="4">
        <v>30000</v>
      </c>
      <c r="E241">
        <v>0</v>
      </c>
      <c r="F241" t="s">
        <v>27</v>
      </c>
      <c r="G241" t="s">
        <v>25</v>
      </c>
      <c r="H241" t="s">
        <v>18</v>
      </c>
      <c r="I241">
        <v>1</v>
      </c>
      <c r="J241" t="s">
        <v>22</v>
      </c>
      <c r="K241" t="s">
        <v>17</v>
      </c>
      <c r="L241">
        <v>34</v>
      </c>
      <c r="M241" t="str">
        <f t="shared" si="3"/>
        <v>Invalide</v>
      </c>
      <c r="N241" t="s">
        <v>15</v>
      </c>
    </row>
    <row r="242" spans="1:14" x14ac:dyDescent="0.25">
      <c r="A242">
        <v>17702</v>
      </c>
      <c r="B242" s="3"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s="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s="3"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s="3" t="s">
        <v>37</v>
      </c>
      <c r="C245" t="s">
        <v>38</v>
      </c>
      <c r="D245" s="4">
        <v>20000</v>
      </c>
      <c r="E245">
        <v>0</v>
      </c>
      <c r="F245" t="s">
        <v>27</v>
      </c>
      <c r="G245" t="s">
        <v>25</v>
      </c>
      <c r="H245" t="s">
        <v>18</v>
      </c>
      <c r="I245">
        <v>1</v>
      </c>
      <c r="J245" t="s">
        <v>22</v>
      </c>
      <c r="K245" t="s">
        <v>17</v>
      </c>
      <c r="L245">
        <v>29</v>
      </c>
      <c r="M245" t="str">
        <f t="shared" si="3"/>
        <v>Middle Age</v>
      </c>
      <c r="N245" t="s">
        <v>18</v>
      </c>
    </row>
    <row r="246" spans="1:14" x14ac:dyDescent="0.25">
      <c r="A246">
        <v>19057</v>
      </c>
      <c r="B246" s="3" t="s">
        <v>36</v>
      </c>
      <c r="C246" t="s">
        <v>38</v>
      </c>
      <c r="D246" s="4">
        <v>120000</v>
      </c>
      <c r="E246">
        <v>3</v>
      </c>
      <c r="F246" t="s">
        <v>13</v>
      </c>
      <c r="G246" t="s">
        <v>28</v>
      </c>
      <c r="H246" t="s">
        <v>18</v>
      </c>
      <c r="I246">
        <v>2</v>
      </c>
      <c r="J246" t="s">
        <v>46</v>
      </c>
      <c r="K246" t="s">
        <v>17</v>
      </c>
      <c r="L246">
        <v>52</v>
      </c>
      <c r="M246" t="str">
        <f t="shared" si="3"/>
        <v>Old</v>
      </c>
      <c r="N246" t="s">
        <v>15</v>
      </c>
    </row>
    <row r="247" spans="1:14" x14ac:dyDescent="0.25">
      <c r="A247">
        <v>18494</v>
      </c>
      <c r="B247" s="3"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s="3"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s="3"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25">
      <c r="A250">
        <v>13981</v>
      </c>
      <c r="B250" s="3"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s="3"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s="3"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s="3" t="s">
        <v>36</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s="3"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s="3" t="s">
        <v>36</v>
      </c>
      <c r="C255" t="s">
        <v>39</v>
      </c>
      <c r="D255" s="4">
        <v>100000</v>
      </c>
      <c r="E255">
        <v>3</v>
      </c>
      <c r="F255" t="s">
        <v>29</v>
      </c>
      <c r="G255" t="s">
        <v>21</v>
      </c>
      <c r="H255" t="s">
        <v>15</v>
      </c>
      <c r="I255">
        <v>0</v>
      </c>
      <c r="J255" t="s">
        <v>46</v>
      </c>
      <c r="K255" t="s">
        <v>17</v>
      </c>
      <c r="L255">
        <v>59</v>
      </c>
      <c r="M255" t="str">
        <f t="shared" si="3"/>
        <v>Old</v>
      </c>
      <c r="N255" t="s">
        <v>15</v>
      </c>
    </row>
    <row r="256" spans="1:14" x14ac:dyDescent="0.25">
      <c r="A256">
        <v>21375</v>
      </c>
      <c r="B256" s="3"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s="3"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s="3"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s="3" t="s">
        <v>37</v>
      </c>
      <c r="C259" t="s">
        <v>38</v>
      </c>
      <c r="D259" s="4">
        <v>50000</v>
      </c>
      <c r="E259">
        <v>0</v>
      </c>
      <c r="F259" t="s">
        <v>31</v>
      </c>
      <c r="G259" t="s">
        <v>14</v>
      </c>
      <c r="H259" t="s">
        <v>15</v>
      </c>
      <c r="I259">
        <v>0</v>
      </c>
      <c r="J259" t="s">
        <v>16</v>
      </c>
      <c r="K259" t="s">
        <v>17</v>
      </c>
      <c r="L259">
        <v>36</v>
      </c>
      <c r="M259" t="str">
        <f t="shared" ref="M259:M322" si="4">IF(L259&gt;51,"Old",IF(L261&gt;=31,"Middle Age",IF(L259&lt;31,"Adolescent","Invalide")))</f>
        <v>Middle Age</v>
      </c>
      <c r="N259" t="s">
        <v>15</v>
      </c>
    </row>
    <row r="260" spans="1:14" x14ac:dyDescent="0.25">
      <c r="A260">
        <v>14193</v>
      </c>
      <c r="B260" s="3" t="s">
        <v>37</v>
      </c>
      <c r="C260" t="s">
        <v>38</v>
      </c>
      <c r="D260" s="4">
        <v>100000</v>
      </c>
      <c r="E260">
        <v>3</v>
      </c>
      <c r="F260" t="s">
        <v>19</v>
      </c>
      <c r="G260" t="s">
        <v>28</v>
      </c>
      <c r="H260" t="s">
        <v>15</v>
      </c>
      <c r="I260">
        <v>4</v>
      </c>
      <c r="J260" t="s">
        <v>46</v>
      </c>
      <c r="K260" t="s">
        <v>17</v>
      </c>
      <c r="L260">
        <v>56</v>
      </c>
      <c r="M260" t="str">
        <f t="shared" si="4"/>
        <v>Old</v>
      </c>
      <c r="N260" t="s">
        <v>18</v>
      </c>
    </row>
    <row r="261" spans="1:14" x14ac:dyDescent="0.25">
      <c r="A261">
        <v>12705</v>
      </c>
      <c r="B261" s="3"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s="3"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s="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s="3"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s="3"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25">
      <c r="A266">
        <v>17964</v>
      </c>
      <c r="B266" s="3" t="s">
        <v>36</v>
      </c>
      <c r="C266" t="s">
        <v>39</v>
      </c>
      <c r="D266" s="4">
        <v>40000</v>
      </c>
      <c r="E266">
        <v>0</v>
      </c>
      <c r="F266" t="s">
        <v>31</v>
      </c>
      <c r="G266" t="s">
        <v>20</v>
      </c>
      <c r="H266" t="s">
        <v>15</v>
      </c>
      <c r="I266">
        <v>0</v>
      </c>
      <c r="J266" t="s">
        <v>16</v>
      </c>
      <c r="K266" t="s">
        <v>17</v>
      </c>
      <c r="L266">
        <v>37</v>
      </c>
      <c r="M266" t="str">
        <f t="shared" si="4"/>
        <v>Invalide</v>
      </c>
      <c r="N266" t="s">
        <v>15</v>
      </c>
    </row>
    <row r="267" spans="1:14" x14ac:dyDescent="0.25">
      <c r="A267">
        <v>20919</v>
      </c>
      <c r="B267" s="3"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s="3" t="s">
        <v>37</v>
      </c>
      <c r="C268" t="s">
        <v>38</v>
      </c>
      <c r="D268" s="4">
        <v>20000</v>
      </c>
      <c r="E268">
        <v>5</v>
      </c>
      <c r="F268" t="s">
        <v>27</v>
      </c>
      <c r="G268" t="s">
        <v>25</v>
      </c>
      <c r="H268" t="s">
        <v>15</v>
      </c>
      <c r="I268">
        <v>2</v>
      </c>
      <c r="J268" t="s">
        <v>16</v>
      </c>
      <c r="K268" t="s">
        <v>17</v>
      </c>
      <c r="L268">
        <v>27</v>
      </c>
      <c r="M268" t="str">
        <f t="shared" si="4"/>
        <v>Middle Age</v>
      </c>
      <c r="N268" t="s">
        <v>18</v>
      </c>
    </row>
    <row r="269" spans="1:14" x14ac:dyDescent="0.25">
      <c r="A269">
        <v>13133</v>
      </c>
      <c r="B269" s="3"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s="3"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s="3" t="s">
        <v>37</v>
      </c>
      <c r="C271" t="s">
        <v>38</v>
      </c>
      <c r="D271" s="4">
        <v>50000</v>
      </c>
      <c r="E271">
        <v>0</v>
      </c>
      <c r="F271" t="s">
        <v>31</v>
      </c>
      <c r="G271" t="s">
        <v>14</v>
      </c>
      <c r="H271" t="s">
        <v>18</v>
      </c>
      <c r="I271">
        <v>0</v>
      </c>
      <c r="J271" t="s">
        <v>16</v>
      </c>
      <c r="K271" t="s">
        <v>17</v>
      </c>
      <c r="L271">
        <v>37</v>
      </c>
      <c r="M271" t="str">
        <f t="shared" si="4"/>
        <v>Invalide</v>
      </c>
      <c r="N271" t="s">
        <v>15</v>
      </c>
    </row>
    <row r="272" spans="1:14" x14ac:dyDescent="0.25">
      <c r="A272">
        <v>12231</v>
      </c>
      <c r="B272" s="3"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s="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s="3"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s="3" t="s">
        <v>37</v>
      </c>
      <c r="C275" t="s">
        <v>38</v>
      </c>
      <c r="D275" s="4">
        <v>20000</v>
      </c>
      <c r="E275">
        <v>0</v>
      </c>
      <c r="F275" t="s">
        <v>27</v>
      </c>
      <c r="G275" t="s">
        <v>25</v>
      </c>
      <c r="H275" t="s">
        <v>18</v>
      </c>
      <c r="I275">
        <v>1</v>
      </c>
      <c r="J275" t="s">
        <v>22</v>
      </c>
      <c r="K275" t="s">
        <v>17</v>
      </c>
      <c r="L275">
        <v>30</v>
      </c>
      <c r="M275" t="str">
        <f t="shared" si="4"/>
        <v>Middle Age</v>
      </c>
      <c r="N275" t="s">
        <v>18</v>
      </c>
    </row>
    <row r="276" spans="1:14" x14ac:dyDescent="0.25">
      <c r="A276">
        <v>12284</v>
      </c>
      <c r="B276" s="3"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s="3"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s="3"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s="3"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s="3"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25">
      <c r="A281">
        <v>16390</v>
      </c>
      <c r="B281" s="3"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s="3"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s="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s="3"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s="3"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s="3"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s="3"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s="3"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s="3"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s="3"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s="3" t="s">
        <v>36</v>
      </c>
      <c r="C291" t="s">
        <v>39</v>
      </c>
      <c r="D291" s="4">
        <v>30000</v>
      </c>
      <c r="E291">
        <v>3</v>
      </c>
      <c r="F291" t="s">
        <v>27</v>
      </c>
      <c r="G291" t="s">
        <v>14</v>
      </c>
      <c r="H291" t="s">
        <v>15</v>
      </c>
      <c r="I291">
        <v>2</v>
      </c>
      <c r="J291" t="s">
        <v>23</v>
      </c>
      <c r="K291" t="s">
        <v>24</v>
      </c>
      <c r="L291">
        <v>54</v>
      </c>
      <c r="M291" t="str">
        <f t="shared" si="4"/>
        <v>Old</v>
      </c>
      <c r="N291" t="s">
        <v>15</v>
      </c>
    </row>
    <row r="292" spans="1:14" x14ac:dyDescent="0.25">
      <c r="A292">
        <v>28319</v>
      </c>
      <c r="B292" s="3"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s="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s="3"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s="3"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s="3"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s="3"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25">
      <c r="A298">
        <v>26663</v>
      </c>
      <c r="B298" s="3"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s="3"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s="3" t="s">
        <v>36</v>
      </c>
      <c r="C300" t="s">
        <v>38</v>
      </c>
      <c r="D300" s="4">
        <v>90000</v>
      </c>
      <c r="E300">
        <v>4</v>
      </c>
      <c r="F300" t="s">
        <v>27</v>
      </c>
      <c r="G300" t="s">
        <v>21</v>
      </c>
      <c r="H300" t="s">
        <v>18</v>
      </c>
      <c r="I300">
        <v>2</v>
      </c>
      <c r="J300" t="s">
        <v>22</v>
      </c>
      <c r="K300" t="s">
        <v>17</v>
      </c>
      <c r="L300">
        <v>54</v>
      </c>
      <c r="M300" t="str">
        <f t="shared" si="4"/>
        <v>Old</v>
      </c>
      <c r="N300" t="s">
        <v>15</v>
      </c>
    </row>
    <row r="301" spans="1:14" x14ac:dyDescent="0.25">
      <c r="A301">
        <v>13136</v>
      </c>
      <c r="B301" s="3"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s="3"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s="3" t="s">
        <v>37</v>
      </c>
      <c r="C303" t="s">
        <v>38</v>
      </c>
      <c r="D303" s="4">
        <v>40000</v>
      </c>
      <c r="E303">
        <v>0</v>
      </c>
      <c r="F303" t="s">
        <v>13</v>
      </c>
      <c r="G303" t="s">
        <v>20</v>
      </c>
      <c r="H303" t="s">
        <v>18</v>
      </c>
      <c r="I303">
        <v>0</v>
      </c>
      <c r="J303" t="s">
        <v>16</v>
      </c>
      <c r="K303" t="s">
        <v>24</v>
      </c>
      <c r="L303">
        <v>28</v>
      </c>
      <c r="M303" t="str">
        <f t="shared" si="4"/>
        <v>Middle Age</v>
      </c>
      <c r="N303" t="s">
        <v>15</v>
      </c>
    </row>
    <row r="304" spans="1:14" x14ac:dyDescent="0.25">
      <c r="A304">
        <v>26928</v>
      </c>
      <c r="B304" s="3"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s="3"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s="3"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s="3"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s="3"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s="3"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s="3"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s="3"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s="3"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s="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s="3"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s="3" t="s">
        <v>37</v>
      </c>
      <c r="C315" t="s">
        <v>39</v>
      </c>
      <c r="D315" s="4">
        <v>40000</v>
      </c>
      <c r="E315">
        <v>3</v>
      </c>
      <c r="F315" t="s">
        <v>29</v>
      </c>
      <c r="G315" t="s">
        <v>20</v>
      </c>
      <c r="H315" t="s">
        <v>18</v>
      </c>
      <c r="I315">
        <v>2</v>
      </c>
      <c r="J315" t="s">
        <v>23</v>
      </c>
      <c r="K315" t="s">
        <v>24</v>
      </c>
      <c r="L315">
        <v>52</v>
      </c>
      <c r="M315" t="str">
        <f t="shared" si="4"/>
        <v>Old</v>
      </c>
      <c r="N315" t="s">
        <v>15</v>
      </c>
    </row>
    <row r="316" spans="1:14" x14ac:dyDescent="0.25">
      <c r="A316">
        <v>18740</v>
      </c>
      <c r="B316" s="3"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s="3"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s="3"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s="3"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s="3" t="s">
        <v>36</v>
      </c>
      <c r="C320" t="s">
        <v>39</v>
      </c>
      <c r="D320" s="4">
        <v>130000</v>
      </c>
      <c r="E320">
        <v>4</v>
      </c>
      <c r="F320" t="s">
        <v>19</v>
      </c>
      <c r="G320" t="s">
        <v>21</v>
      </c>
      <c r="H320" t="s">
        <v>18</v>
      </c>
      <c r="I320">
        <v>3</v>
      </c>
      <c r="J320" t="s">
        <v>46</v>
      </c>
      <c r="K320" t="s">
        <v>17</v>
      </c>
      <c r="L320">
        <v>54</v>
      </c>
      <c r="M320" t="str">
        <f t="shared" si="4"/>
        <v>Old</v>
      </c>
      <c r="N320" t="s">
        <v>18</v>
      </c>
    </row>
    <row r="321" spans="1:14" x14ac:dyDescent="0.25">
      <c r="A321">
        <v>11386</v>
      </c>
      <c r="B321" s="3"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s="3"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s="3" t="s">
        <v>37</v>
      </c>
      <c r="C323" t="s">
        <v>38</v>
      </c>
      <c r="D323" s="4">
        <v>160000</v>
      </c>
      <c r="E323">
        <v>0</v>
      </c>
      <c r="F323" t="s">
        <v>31</v>
      </c>
      <c r="G323" t="s">
        <v>28</v>
      </c>
      <c r="H323" t="s">
        <v>18</v>
      </c>
      <c r="I323">
        <v>3</v>
      </c>
      <c r="J323" t="s">
        <v>16</v>
      </c>
      <c r="K323" t="s">
        <v>24</v>
      </c>
      <c r="L323">
        <v>47</v>
      </c>
      <c r="M323" t="str">
        <f t="shared" ref="M323:M386" si="5">IF(L323&gt;51,"Old",IF(L325&gt;=31,"Middle Age",IF(L323&lt;31,"Adolescent","Invalide")))</f>
        <v>Middle Age</v>
      </c>
      <c r="N323" t="s">
        <v>15</v>
      </c>
    </row>
    <row r="324" spans="1:14" x14ac:dyDescent="0.25">
      <c r="A324">
        <v>16410</v>
      </c>
      <c r="B324" s="3"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s="3"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s="3" t="s">
        <v>36</v>
      </c>
      <c r="C326" t="s">
        <v>39</v>
      </c>
      <c r="D326" s="4">
        <v>90000</v>
      </c>
      <c r="E326">
        <v>4</v>
      </c>
      <c r="F326" t="s">
        <v>13</v>
      </c>
      <c r="G326" t="s">
        <v>21</v>
      </c>
      <c r="H326" t="s">
        <v>15</v>
      </c>
      <c r="I326">
        <v>0</v>
      </c>
      <c r="J326" t="s">
        <v>26</v>
      </c>
      <c r="K326" t="s">
        <v>24</v>
      </c>
      <c r="L326">
        <v>38</v>
      </c>
      <c r="M326" t="str">
        <f t="shared" si="5"/>
        <v>Invalide</v>
      </c>
      <c r="N326" t="s">
        <v>15</v>
      </c>
    </row>
    <row r="327" spans="1:14" x14ac:dyDescent="0.25">
      <c r="A327">
        <v>23780</v>
      </c>
      <c r="B327" s="3"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s="3" t="s">
        <v>36</v>
      </c>
      <c r="C328" t="s">
        <v>38</v>
      </c>
      <c r="D328" s="4">
        <v>20000</v>
      </c>
      <c r="E328">
        <v>0</v>
      </c>
      <c r="F328" t="s">
        <v>13</v>
      </c>
      <c r="G328" t="s">
        <v>20</v>
      </c>
      <c r="H328" t="s">
        <v>18</v>
      </c>
      <c r="I328">
        <v>0</v>
      </c>
      <c r="J328" t="s">
        <v>16</v>
      </c>
      <c r="K328" t="s">
        <v>24</v>
      </c>
      <c r="L328">
        <v>26</v>
      </c>
      <c r="M328" t="str">
        <f t="shared" si="5"/>
        <v>Middle Age</v>
      </c>
      <c r="N328" t="s">
        <v>15</v>
      </c>
    </row>
    <row r="329" spans="1:14" x14ac:dyDescent="0.25">
      <c r="A329">
        <v>28379</v>
      </c>
      <c r="B329" s="3"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s="3"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s="3" t="s">
        <v>36</v>
      </c>
      <c r="C331" t="s">
        <v>38</v>
      </c>
      <c r="D331" s="4">
        <v>90000</v>
      </c>
      <c r="E331">
        <v>5</v>
      </c>
      <c r="F331" t="s">
        <v>29</v>
      </c>
      <c r="G331" t="s">
        <v>14</v>
      </c>
      <c r="H331" t="s">
        <v>15</v>
      </c>
      <c r="I331">
        <v>2</v>
      </c>
      <c r="J331" t="s">
        <v>46</v>
      </c>
      <c r="K331" t="s">
        <v>17</v>
      </c>
      <c r="L331">
        <v>59</v>
      </c>
      <c r="M331" t="str">
        <f t="shared" si="5"/>
        <v>Old</v>
      </c>
      <c r="N331" t="s">
        <v>18</v>
      </c>
    </row>
    <row r="332" spans="1:14" x14ac:dyDescent="0.25">
      <c r="A332">
        <v>24898</v>
      </c>
      <c r="B332" s="3"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25">
      <c r="A333">
        <v>19508</v>
      </c>
      <c r="B333" s="3" t="s">
        <v>36</v>
      </c>
      <c r="C333" t="s">
        <v>39</v>
      </c>
      <c r="D333" s="4">
        <v>10000</v>
      </c>
      <c r="E333">
        <v>0</v>
      </c>
      <c r="F333" t="s">
        <v>29</v>
      </c>
      <c r="G333" t="s">
        <v>25</v>
      </c>
      <c r="H333" t="s">
        <v>18</v>
      </c>
      <c r="I333">
        <v>2</v>
      </c>
      <c r="J333" t="s">
        <v>16</v>
      </c>
      <c r="K333" t="s">
        <v>17</v>
      </c>
      <c r="L333">
        <v>30</v>
      </c>
      <c r="M333" t="str">
        <f t="shared" si="5"/>
        <v>Middle Age</v>
      </c>
      <c r="N333" t="s">
        <v>18</v>
      </c>
    </row>
    <row r="334" spans="1:14" x14ac:dyDescent="0.25">
      <c r="A334">
        <v>11489</v>
      </c>
      <c r="B334" s="3"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s="3"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s="3"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s="3"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s="3"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s="3"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s="3" t="s">
        <v>37</v>
      </c>
      <c r="C340" t="s">
        <v>38</v>
      </c>
      <c r="D340" s="4">
        <v>120000</v>
      </c>
      <c r="E340">
        <v>3</v>
      </c>
      <c r="F340" t="s">
        <v>27</v>
      </c>
      <c r="G340" t="s">
        <v>21</v>
      </c>
      <c r="H340" t="s">
        <v>15</v>
      </c>
      <c r="I340">
        <v>4</v>
      </c>
      <c r="J340" t="s">
        <v>23</v>
      </c>
      <c r="K340" t="s">
        <v>17</v>
      </c>
      <c r="L340">
        <v>50</v>
      </c>
      <c r="M340" t="str">
        <f t="shared" si="5"/>
        <v>Invalide</v>
      </c>
      <c r="N340" t="s">
        <v>15</v>
      </c>
    </row>
    <row r="341" spans="1:14" x14ac:dyDescent="0.25">
      <c r="A341">
        <v>14554</v>
      </c>
      <c r="B341" s="3"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s="3" t="s">
        <v>37</v>
      </c>
      <c r="C342" t="s">
        <v>39</v>
      </c>
      <c r="D342" s="4">
        <v>30000</v>
      </c>
      <c r="E342">
        <v>0</v>
      </c>
      <c r="F342" t="s">
        <v>19</v>
      </c>
      <c r="G342" t="s">
        <v>20</v>
      </c>
      <c r="H342" t="s">
        <v>15</v>
      </c>
      <c r="I342">
        <v>1</v>
      </c>
      <c r="J342" t="s">
        <v>22</v>
      </c>
      <c r="K342" t="s">
        <v>17</v>
      </c>
      <c r="L342">
        <v>30</v>
      </c>
      <c r="M342" t="str">
        <f t="shared" si="5"/>
        <v>Middle Age</v>
      </c>
      <c r="N342" t="s">
        <v>18</v>
      </c>
    </row>
    <row r="343" spans="1:14" x14ac:dyDescent="0.25">
      <c r="A343">
        <v>19174</v>
      </c>
      <c r="B343" s="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s="3"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s="3"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s="3"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s="3"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s="3"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s="3" t="s">
        <v>37</v>
      </c>
      <c r="C349" t="s">
        <v>38</v>
      </c>
      <c r="D349" s="4">
        <v>60000</v>
      </c>
      <c r="E349">
        <v>1</v>
      </c>
      <c r="F349" t="s">
        <v>19</v>
      </c>
      <c r="G349" t="s">
        <v>14</v>
      </c>
      <c r="H349" t="s">
        <v>18</v>
      </c>
      <c r="I349">
        <v>1</v>
      </c>
      <c r="J349" t="s">
        <v>16</v>
      </c>
      <c r="K349" t="s">
        <v>24</v>
      </c>
      <c r="L349">
        <v>45</v>
      </c>
      <c r="M349" t="str">
        <f t="shared" si="5"/>
        <v>Invalide</v>
      </c>
      <c r="N349" t="s">
        <v>15</v>
      </c>
    </row>
    <row r="350" spans="1:14" x14ac:dyDescent="0.25">
      <c r="A350">
        <v>23915</v>
      </c>
      <c r="B350" s="3" t="s">
        <v>36</v>
      </c>
      <c r="C350" t="s">
        <v>39</v>
      </c>
      <c r="D350" s="4">
        <v>20000</v>
      </c>
      <c r="E350">
        <v>2</v>
      </c>
      <c r="F350" t="s">
        <v>27</v>
      </c>
      <c r="G350" t="s">
        <v>25</v>
      </c>
      <c r="H350" t="s">
        <v>15</v>
      </c>
      <c r="I350">
        <v>2</v>
      </c>
      <c r="J350" t="s">
        <v>16</v>
      </c>
      <c r="K350" t="s">
        <v>17</v>
      </c>
      <c r="L350">
        <v>42</v>
      </c>
      <c r="M350" t="str">
        <f t="shared" si="5"/>
        <v>Invalide</v>
      </c>
      <c r="N350" t="s">
        <v>18</v>
      </c>
    </row>
    <row r="351" spans="1:14" x14ac:dyDescent="0.25">
      <c r="A351">
        <v>24121</v>
      </c>
      <c r="B351" s="3" t="s">
        <v>37</v>
      </c>
      <c r="C351" t="s">
        <v>38</v>
      </c>
      <c r="D351" s="4">
        <v>30000</v>
      </c>
      <c r="E351">
        <v>0</v>
      </c>
      <c r="F351" t="s">
        <v>19</v>
      </c>
      <c r="G351" t="s">
        <v>20</v>
      </c>
      <c r="H351" t="s">
        <v>18</v>
      </c>
      <c r="I351">
        <v>1</v>
      </c>
      <c r="J351" t="s">
        <v>16</v>
      </c>
      <c r="K351" t="s">
        <v>17</v>
      </c>
      <c r="L351">
        <v>29</v>
      </c>
      <c r="M351" t="str">
        <f t="shared" si="5"/>
        <v>Middle Age</v>
      </c>
      <c r="N351" t="s">
        <v>15</v>
      </c>
    </row>
    <row r="352" spans="1:14" x14ac:dyDescent="0.25">
      <c r="A352">
        <v>27878</v>
      </c>
      <c r="B352" s="3" t="s">
        <v>37</v>
      </c>
      <c r="C352" t="s">
        <v>39</v>
      </c>
      <c r="D352" s="4">
        <v>20000</v>
      </c>
      <c r="E352">
        <v>0</v>
      </c>
      <c r="F352" t="s">
        <v>19</v>
      </c>
      <c r="G352" t="s">
        <v>25</v>
      </c>
      <c r="H352" t="s">
        <v>18</v>
      </c>
      <c r="I352">
        <v>0</v>
      </c>
      <c r="J352" t="s">
        <v>16</v>
      </c>
      <c r="K352" t="s">
        <v>24</v>
      </c>
      <c r="L352">
        <v>28</v>
      </c>
      <c r="M352" t="str">
        <f t="shared" si="5"/>
        <v>Middle Age</v>
      </c>
      <c r="N352" t="s">
        <v>15</v>
      </c>
    </row>
    <row r="353" spans="1:14" x14ac:dyDescent="0.25">
      <c r="A353">
        <v>13572</v>
      </c>
      <c r="B353" s="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s="3" t="s">
        <v>36</v>
      </c>
      <c r="C354" t="s">
        <v>38</v>
      </c>
      <c r="D354" s="4">
        <v>80000</v>
      </c>
      <c r="E354">
        <v>4</v>
      </c>
      <c r="F354" t="s">
        <v>19</v>
      </c>
      <c r="G354" t="s">
        <v>21</v>
      </c>
      <c r="H354" t="s">
        <v>15</v>
      </c>
      <c r="I354">
        <v>2</v>
      </c>
      <c r="J354" t="s">
        <v>22</v>
      </c>
      <c r="K354" t="s">
        <v>17</v>
      </c>
      <c r="L354">
        <v>53</v>
      </c>
      <c r="M354" t="str">
        <f t="shared" si="5"/>
        <v>Old</v>
      </c>
      <c r="N354" t="s">
        <v>18</v>
      </c>
    </row>
    <row r="355" spans="1:14" x14ac:dyDescent="0.25">
      <c r="A355">
        <v>26354</v>
      </c>
      <c r="B355" s="3"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s="3"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s="3"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25">
      <c r="A358">
        <v>23608</v>
      </c>
      <c r="B358" s="3"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s="3" t="s">
        <v>37</v>
      </c>
      <c r="C359" t="s">
        <v>38</v>
      </c>
      <c r="D359" s="4">
        <v>10000</v>
      </c>
      <c r="E359">
        <v>0</v>
      </c>
      <c r="F359" t="s">
        <v>29</v>
      </c>
      <c r="G359" t="s">
        <v>25</v>
      </c>
      <c r="H359" t="s">
        <v>15</v>
      </c>
      <c r="I359">
        <v>2</v>
      </c>
      <c r="J359" t="s">
        <v>26</v>
      </c>
      <c r="K359" t="s">
        <v>17</v>
      </c>
      <c r="L359">
        <v>33</v>
      </c>
      <c r="M359" t="str">
        <f t="shared" si="5"/>
        <v>Invalide</v>
      </c>
      <c r="N359" t="s">
        <v>18</v>
      </c>
    </row>
    <row r="360" spans="1:14" x14ac:dyDescent="0.25">
      <c r="A360">
        <v>12332</v>
      </c>
      <c r="B360" s="3"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s="3"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25">
      <c r="A362">
        <v>13082</v>
      </c>
      <c r="B362" s="3"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s="3" t="s">
        <v>37</v>
      </c>
      <c r="C363" t="s">
        <v>38</v>
      </c>
      <c r="D363" s="4">
        <v>30000</v>
      </c>
      <c r="E363">
        <v>3</v>
      </c>
      <c r="F363" t="s">
        <v>19</v>
      </c>
      <c r="G363" t="s">
        <v>20</v>
      </c>
      <c r="H363" t="s">
        <v>18</v>
      </c>
      <c r="I363">
        <v>2</v>
      </c>
      <c r="J363" t="s">
        <v>16</v>
      </c>
      <c r="K363" t="s">
        <v>17</v>
      </c>
      <c r="L363">
        <v>27</v>
      </c>
      <c r="M363" t="str">
        <f t="shared" si="5"/>
        <v>Middle Age</v>
      </c>
      <c r="N363" t="s">
        <v>15</v>
      </c>
    </row>
    <row r="364" spans="1:14" x14ac:dyDescent="0.25">
      <c r="A364">
        <v>13687</v>
      </c>
      <c r="B364" s="3"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s="3"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s="3"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s="3"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s="3"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s="3"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s="3"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s="3" t="s">
        <v>37</v>
      </c>
      <c r="C371" t="s">
        <v>38</v>
      </c>
      <c r="D371" s="4">
        <v>20000</v>
      </c>
      <c r="E371">
        <v>2</v>
      </c>
      <c r="F371" t="s">
        <v>19</v>
      </c>
      <c r="G371" t="s">
        <v>25</v>
      </c>
      <c r="H371" t="s">
        <v>18</v>
      </c>
      <c r="I371">
        <v>1</v>
      </c>
      <c r="J371" t="s">
        <v>16</v>
      </c>
      <c r="K371" t="s">
        <v>17</v>
      </c>
      <c r="L371">
        <v>53</v>
      </c>
      <c r="M371" t="str">
        <f t="shared" si="5"/>
        <v>Old</v>
      </c>
      <c r="N371" t="s">
        <v>15</v>
      </c>
    </row>
    <row r="372" spans="1:14" x14ac:dyDescent="0.25">
      <c r="A372">
        <v>17324</v>
      </c>
      <c r="B372" s="3"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25">
      <c r="A373">
        <v>22918</v>
      </c>
      <c r="B373" s="3" t="s">
        <v>37</v>
      </c>
      <c r="C373" t="s">
        <v>39</v>
      </c>
      <c r="D373" s="4">
        <v>80000</v>
      </c>
      <c r="E373">
        <v>5</v>
      </c>
      <c r="F373" t="s">
        <v>31</v>
      </c>
      <c r="G373" t="s">
        <v>28</v>
      </c>
      <c r="H373" t="s">
        <v>15</v>
      </c>
      <c r="I373">
        <v>3</v>
      </c>
      <c r="J373" t="s">
        <v>16</v>
      </c>
      <c r="K373" t="s">
        <v>24</v>
      </c>
      <c r="L373">
        <v>50</v>
      </c>
      <c r="M373" t="str">
        <f t="shared" si="5"/>
        <v>Invalide</v>
      </c>
      <c r="N373" t="s">
        <v>18</v>
      </c>
    </row>
    <row r="374" spans="1:14" x14ac:dyDescent="0.25">
      <c r="A374">
        <v>12510</v>
      </c>
      <c r="B374" s="3"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s="3" t="s">
        <v>37</v>
      </c>
      <c r="C375" t="s">
        <v>39</v>
      </c>
      <c r="D375" s="4">
        <v>20000</v>
      </c>
      <c r="E375">
        <v>0</v>
      </c>
      <c r="F375" t="s">
        <v>27</v>
      </c>
      <c r="G375" t="s">
        <v>25</v>
      </c>
      <c r="H375" t="s">
        <v>18</v>
      </c>
      <c r="I375">
        <v>1</v>
      </c>
      <c r="J375" t="s">
        <v>22</v>
      </c>
      <c r="K375" t="s">
        <v>17</v>
      </c>
      <c r="L375">
        <v>30</v>
      </c>
      <c r="M375" t="str">
        <f t="shared" si="5"/>
        <v>Middle Age</v>
      </c>
      <c r="N375" t="s">
        <v>18</v>
      </c>
    </row>
    <row r="376" spans="1:14" x14ac:dyDescent="0.25">
      <c r="A376">
        <v>16179</v>
      </c>
      <c r="B376" s="3"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s="3"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s="3"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s="3"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s="3"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s="3"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s="3" t="s">
        <v>37</v>
      </c>
      <c r="C382" t="s">
        <v>39</v>
      </c>
      <c r="D382" s="4">
        <v>70000</v>
      </c>
      <c r="E382">
        <v>0</v>
      </c>
      <c r="F382" t="s">
        <v>13</v>
      </c>
      <c r="G382" t="s">
        <v>21</v>
      </c>
      <c r="H382" t="s">
        <v>18</v>
      </c>
      <c r="I382">
        <v>3</v>
      </c>
      <c r="J382" t="s">
        <v>46</v>
      </c>
      <c r="K382" t="s">
        <v>24</v>
      </c>
      <c r="L382">
        <v>30</v>
      </c>
      <c r="M382" t="str">
        <f t="shared" si="5"/>
        <v>Middle Age</v>
      </c>
      <c r="N382" t="s">
        <v>15</v>
      </c>
    </row>
    <row r="383" spans="1:14" x14ac:dyDescent="0.25">
      <c r="A383">
        <v>22974</v>
      </c>
      <c r="B383" s="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s="3" t="s">
        <v>36</v>
      </c>
      <c r="C384" t="s">
        <v>39</v>
      </c>
      <c r="D384" s="4">
        <v>80000</v>
      </c>
      <c r="E384">
        <v>4</v>
      </c>
      <c r="F384" t="s">
        <v>19</v>
      </c>
      <c r="G384" t="s">
        <v>21</v>
      </c>
      <c r="H384" t="s">
        <v>15</v>
      </c>
      <c r="I384">
        <v>2</v>
      </c>
      <c r="J384" t="s">
        <v>46</v>
      </c>
      <c r="K384" t="s">
        <v>17</v>
      </c>
      <c r="L384">
        <v>53</v>
      </c>
      <c r="M384" t="str">
        <f t="shared" si="5"/>
        <v>Old</v>
      </c>
      <c r="N384" t="s">
        <v>18</v>
      </c>
    </row>
    <row r="385" spans="1:14" x14ac:dyDescent="0.25">
      <c r="A385">
        <v>17978</v>
      </c>
      <c r="B385" s="3"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s="3" t="s">
        <v>37</v>
      </c>
      <c r="C386" t="s">
        <v>38</v>
      </c>
      <c r="D386" s="4">
        <v>10000</v>
      </c>
      <c r="E386">
        <v>0</v>
      </c>
      <c r="F386" t="s">
        <v>19</v>
      </c>
      <c r="G386" t="s">
        <v>25</v>
      </c>
      <c r="H386" t="s">
        <v>18</v>
      </c>
      <c r="I386">
        <v>1</v>
      </c>
      <c r="J386" t="s">
        <v>16</v>
      </c>
      <c r="K386" t="s">
        <v>24</v>
      </c>
      <c r="L386">
        <v>28</v>
      </c>
      <c r="M386" t="str">
        <f t="shared" si="5"/>
        <v>Middle Age</v>
      </c>
      <c r="N386" t="s">
        <v>15</v>
      </c>
    </row>
    <row r="387" spans="1:14" x14ac:dyDescent="0.25">
      <c r="A387">
        <v>18018</v>
      </c>
      <c r="B387" s="3" t="s">
        <v>37</v>
      </c>
      <c r="C387" t="s">
        <v>39</v>
      </c>
      <c r="D387" s="4">
        <v>30000</v>
      </c>
      <c r="E387">
        <v>3</v>
      </c>
      <c r="F387" t="s">
        <v>19</v>
      </c>
      <c r="G387" t="s">
        <v>20</v>
      </c>
      <c r="H387" t="s">
        <v>15</v>
      </c>
      <c r="I387">
        <v>0</v>
      </c>
      <c r="J387" t="s">
        <v>16</v>
      </c>
      <c r="K387" t="s">
        <v>17</v>
      </c>
      <c r="L387">
        <v>43</v>
      </c>
      <c r="M387" t="str">
        <f t="shared" ref="M387:M450" si="6">IF(L387&gt;51,"Old",IF(L389&gt;=31,"Middle Age",IF(L387&lt;31,"Adolescent","Invalide")))</f>
        <v>Middle Age</v>
      </c>
      <c r="N387" t="s">
        <v>18</v>
      </c>
    </row>
    <row r="388" spans="1:14" x14ac:dyDescent="0.25">
      <c r="A388">
        <v>28957</v>
      </c>
      <c r="B388" s="3"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25">
      <c r="A389">
        <v>13690</v>
      </c>
      <c r="B389" s="3"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s="3"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s="3"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s="3"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s="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s="3"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s="3"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s="3"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s="3"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s="3"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s="3"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s="3"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s="3" t="s">
        <v>37</v>
      </c>
      <c r="C401" t="s">
        <v>38</v>
      </c>
      <c r="D401" s="4">
        <v>40000</v>
      </c>
      <c r="E401">
        <v>2</v>
      </c>
      <c r="F401" t="s">
        <v>13</v>
      </c>
      <c r="G401" t="s">
        <v>28</v>
      </c>
      <c r="H401" t="s">
        <v>18</v>
      </c>
      <c r="I401">
        <v>1</v>
      </c>
      <c r="J401" t="s">
        <v>23</v>
      </c>
      <c r="K401" t="s">
        <v>24</v>
      </c>
      <c r="L401">
        <v>53</v>
      </c>
      <c r="M401" t="str">
        <f t="shared" si="6"/>
        <v>Old</v>
      </c>
      <c r="N401" t="s">
        <v>15</v>
      </c>
    </row>
    <row r="402" spans="1:14" x14ac:dyDescent="0.25">
      <c r="A402">
        <v>25792</v>
      </c>
      <c r="B402" s="3" t="s">
        <v>37</v>
      </c>
      <c r="C402" t="s">
        <v>38</v>
      </c>
      <c r="D402" s="4">
        <v>110000</v>
      </c>
      <c r="E402">
        <v>3</v>
      </c>
      <c r="F402" t="s">
        <v>13</v>
      </c>
      <c r="G402" t="s">
        <v>28</v>
      </c>
      <c r="H402" t="s">
        <v>15</v>
      </c>
      <c r="I402">
        <v>4</v>
      </c>
      <c r="J402" t="s">
        <v>46</v>
      </c>
      <c r="K402" t="s">
        <v>17</v>
      </c>
      <c r="L402">
        <v>53</v>
      </c>
      <c r="M402" t="str">
        <f t="shared" si="6"/>
        <v>Old</v>
      </c>
      <c r="N402" t="s">
        <v>18</v>
      </c>
    </row>
    <row r="403" spans="1:14" x14ac:dyDescent="0.25">
      <c r="A403">
        <v>11555</v>
      </c>
      <c r="B403" s="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s="3"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s="3"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s="3" t="s">
        <v>36</v>
      </c>
      <c r="C406" t="s">
        <v>39</v>
      </c>
      <c r="D406" s="4">
        <v>30000</v>
      </c>
      <c r="E406">
        <v>3</v>
      </c>
      <c r="F406" t="s">
        <v>27</v>
      </c>
      <c r="G406" t="s">
        <v>14</v>
      </c>
      <c r="H406" t="s">
        <v>15</v>
      </c>
      <c r="I406">
        <v>2</v>
      </c>
      <c r="J406" t="s">
        <v>23</v>
      </c>
      <c r="K406" t="s">
        <v>24</v>
      </c>
      <c r="L406">
        <v>54</v>
      </c>
      <c r="M406" t="str">
        <f t="shared" si="6"/>
        <v>Old</v>
      </c>
      <c r="N406" t="s">
        <v>15</v>
      </c>
    </row>
    <row r="407" spans="1:14" x14ac:dyDescent="0.25">
      <c r="A407">
        <v>22439</v>
      </c>
      <c r="B407" s="3"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s="3"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s="3"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s="3"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s="3" t="s">
        <v>36</v>
      </c>
      <c r="C411" t="s">
        <v>38</v>
      </c>
      <c r="D411" s="4">
        <v>130000</v>
      </c>
      <c r="E411">
        <v>3</v>
      </c>
      <c r="F411" t="s">
        <v>19</v>
      </c>
      <c r="G411" t="s">
        <v>21</v>
      </c>
      <c r="H411" t="s">
        <v>15</v>
      </c>
      <c r="I411">
        <v>4</v>
      </c>
      <c r="J411" t="s">
        <v>16</v>
      </c>
      <c r="K411" t="s">
        <v>17</v>
      </c>
      <c r="L411">
        <v>52</v>
      </c>
      <c r="M411" t="str">
        <f t="shared" si="6"/>
        <v>Old</v>
      </c>
      <c r="N411" t="s">
        <v>18</v>
      </c>
    </row>
    <row r="412" spans="1:14" x14ac:dyDescent="0.25">
      <c r="A412">
        <v>20171</v>
      </c>
      <c r="B412" s="3"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s="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s="3"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s="3"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s="3"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s="3"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s="3"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s="3"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s="3"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s="3"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s="3" t="s">
        <v>36</v>
      </c>
      <c r="C422" t="s">
        <v>38</v>
      </c>
      <c r="D422" s="4">
        <v>100000</v>
      </c>
      <c r="E422">
        <v>2</v>
      </c>
      <c r="F422" t="s">
        <v>13</v>
      </c>
      <c r="G422" t="s">
        <v>28</v>
      </c>
      <c r="H422" t="s">
        <v>15</v>
      </c>
      <c r="I422">
        <v>4</v>
      </c>
      <c r="J422" t="s">
        <v>46</v>
      </c>
      <c r="K422" t="s">
        <v>17</v>
      </c>
      <c r="L422">
        <v>59</v>
      </c>
      <c r="M422" t="str">
        <f t="shared" si="6"/>
        <v>Old</v>
      </c>
      <c r="N422" t="s">
        <v>18</v>
      </c>
    </row>
    <row r="423" spans="1:14" x14ac:dyDescent="0.25">
      <c r="A423">
        <v>14547</v>
      </c>
      <c r="B423" s="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s="3"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25">
      <c r="A425">
        <v>27169</v>
      </c>
      <c r="B425" s="3"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s="3" t="s">
        <v>37</v>
      </c>
      <c r="C426" t="s">
        <v>38</v>
      </c>
      <c r="D426" s="4">
        <v>10000</v>
      </c>
      <c r="E426">
        <v>3</v>
      </c>
      <c r="F426" t="s">
        <v>29</v>
      </c>
      <c r="G426" t="s">
        <v>25</v>
      </c>
      <c r="H426" t="s">
        <v>15</v>
      </c>
      <c r="I426">
        <v>2</v>
      </c>
      <c r="J426" t="s">
        <v>16</v>
      </c>
      <c r="K426" t="s">
        <v>17</v>
      </c>
      <c r="L426">
        <v>43</v>
      </c>
      <c r="M426" t="str">
        <f t="shared" si="6"/>
        <v>Invalide</v>
      </c>
      <c r="N426" t="s">
        <v>18</v>
      </c>
    </row>
    <row r="427" spans="1:14" x14ac:dyDescent="0.25">
      <c r="A427">
        <v>15822</v>
      </c>
      <c r="B427" s="3"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s="3" t="s">
        <v>37</v>
      </c>
      <c r="C428" t="s">
        <v>39</v>
      </c>
      <c r="D428" s="4">
        <v>30000</v>
      </c>
      <c r="E428">
        <v>0</v>
      </c>
      <c r="F428" t="s">
        <v>19</v>
      </c>
      <c r="G428" t="s">
        <v>20</v>
      </c>
      <c r="H428" t="s">
        <v>18</v>
      </c>
      <c r="I428">
        <v>1</v>
      </c>
      <c r="J428" t="s">
        <v>22</v>
      </c>
      <c r="K428" t="s">
        <v>17</v>
      </c>
      <c r="L428">
        <v>28</v>
      </c>
      <c r="M428" t="str">
        <f t="shared" si="6"/>
        <v>Middle Age</v>
      </c>
      <c r="N428" t="s">
        <v>18</v>
      </c>
    </row>
    <row r="429" spans="1:14" x14ac:dyDescent="0.25">
      <c r="A429">
        <v>17048</v>
      </c>
      <c r="B429" s="3"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s="3"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s="3" t="s">
        <v>37</v>
      </c>
      <c r="C431" t="s">
        <v>38</v>
      </c>
      <c r="D431" s="4">
        <v>30000</v>
      </c>
      <c r="E431">
        <v>0</v>
      </c>
      <c r="F431" t="s">
        <v>19</v>
      </c>
      <c r="G431" t="s">
        <v>20</v>
      </c>
      <c r="H431" t="s">
        <v>15</v>
      </c>
      <c r="I431">
        <v>1</v>
      </c>
      <c r="J431" t="s">
        <v>22</v>
      </c>
      <c r="K431" t="s">
        <v>17</v>
      </c>
      <c r="L431">
        <v>31</v>
      </c>
      <c r="M431" t="str">
        <f t="shared" si="6"/>
        <v>Invalide</v>
      </c>
      <c r="N431" t="s">
        <v>18</v>
      </c>
    </row>
    <row r="432" spans="1:14" x14ac:dyDescent="0.25">
      <c r="A432">
        <v>15019</v>
      </c>
      <c r="B432" s="3" t="s">
        <v>37</v>
      </c>
      <c r="C432" t="s">
        <v>38</v>
      </c>
      <c r="D432" s="4">
        <v>30000</v>
      </c>
      <c r="E432">
        <v>3</v>
      </c>
      <c r="F432" t="s">
        <v>27</v>
      </c>
      <c r="G432" t="s">
        <v>14</v>
      </c>
      <c r="H432" t="s">
        <v>15</v>
      </c>
      <c r="I432">
        <v>2</v>
      </c>
      <c r="J432" t="s">
        <v>23</v>
      </c>
      <c r="K432" t="s">
        <v>24</v>
      </c>
      <c r="L432">
        <v>55</v>
      </c>
      <c r="M432" t="str">
        <f t="shared" si="6"/>
        <v>Old</v>
      </c>
      <c r="N432" t="s">
        <v>18</v>
      </c>
    </row>
    <row r="433" spans="1:14" x14ac:dyDescent="0.25">
      <c r="A433">
        <v>28488</v>
      </c>
      <c r="B433" s="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s="3"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25">
      <c r="A435">
        <v>27814</v>
      </c>
      <c r="B435" s="3" t="s">
        <v>37</v>
      </c>
      <c r="C435" t="s">
        <v>38</v>
      </c>
      <c r="D435" s="4">
        <v>30000</v>
      </c>
      <c r="E435">
        <v>3</v>
      </c>
      <c r="F435" t="s">
        <v>19</v>
      </c>
      <c r="G435" t="s">
        <v>20</v>
      </c>
      <c r="H435" t="s">
        <v>18</v>
      </c>
      <c r="I435">
        <v>1</v>
      </c>
      <c r="J435" t="s">
        <v>16</v>
      </c>
      <c r="K435" t="s">
        <v>17</v>
      </c>
      <c r="L435">
        <v>26</v>
      </c>
      <c r="M435" t="str">
        <f t="shared" si="6"/>
        <v>Middle Age</v>
      </c>
      <c r="N435" t="s">
        <v>18</v>
      </c>
    </row>
    <row r="436" spans="1:14" x14ac:dyDescent="0.25">
      <c r="A436">
        <v>22175</v>
      </c>
      <c r="B436" s="3" t="s">
        <v>36</v>
      </c>
      <c r="C436" t="s">
        <v>38</v>
      </c>
      <c r="D436" s="4">
        <v>30000</v>
      </c>
      <c r="E436">
        <v>3</v>
      </c>
      <c r="F436" t="s">
        <v>27</v>
      </c>
      <c r="G436" t="s">
        <v>14</v>
      </c>
      <c r="H436" t="s">
        <v>15</v>
      </c>
      <c r="I436">
        <v>2</v>
      </c>
      <c r="J436" t="s">
        <v>23</v>
      </c>
      <c r="K436" t="s">
        <v>24</v>
      </c>
      <c r="L436">
        <v>53</v>
      </c>
      <c r="M436" t="str">
        <f t="shared" si="6"/>
        <v>Old</v>
      </c>
      <c r="N436" t="s">
        <v>15</v>
      </c>
    </row>
    <row r="437" spans="1:14" x14ac:dyDescent="0.25">
      <c r="A437">
        <v>29447</v>
      </c>
      <c r="B437" s="3"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s="3"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s="3" t="s">
        <v>37</v>
      </c>
      <c r="C439" t="s">
        <v>38</v>
      </c>
      <c r="D439" s="4">
        <v>30000</v>
      </c>
      <c r="E439">
        <v>3</v>
      </c>
      <c r="F439" t="s">
        <v>19</v>
      </c>
      <c r="G439" t="s">
        <v>20</v>
      </c>
      <c r="H439" t="s">
        <v>15</v>
      </c>
      <c r="I439">
        <v>2</v>
      </c>
      <c r="J439" t="s">
        <v>16</v>
      </c>
      <c r="K439" t="s">
        <v>17</v>
      </c>
      <c r="L439">
        <v>28</v>
      </c>
      <c r="M439" t="str">
        <f t="shared" si="6"/>
        <v>Middle Age</v>
      </c>
      <c r="N439" t="s">
        <v>15</v>
      </c>
    </row>
    <row r="440" spans="1:14" x14ac:dyDescent="0.25">
      <c r="A440">
        <v>24093</v>
      </c>
      <c r="B440" s="3"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s="3"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s="3"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25">
      <c r="A443">
        <v>11061</v>
      </c>
      <c r="B443" s="3" t="s">
        <v>36</v>
      </c>
      <c r="C443" t="s">
        <v>39</v>
      </c>
      <c r="D443" s="4">
        <v>70000</v>
      </c>
      <c r="E443">
        <v>2</v>
      </c>
      <c r="F443" t="s">
        <v>19</v>
      </c>
      <c r="G443" t="s">
        <v>14</v>
      </c>
      <c r="H443" t="s">
        <v>15</v>
      </c>
      <c r="I443">
        <v>2</v>
      </c>
      <c r="J443" t="s">
        <v>23</v>
      </c>
      <c r="K443" t="s">
        <v>24</v>
      </c>
      <c r="L443">
        <v>52</v>
      </c>
      <c r="M443" t="str">
        <f t="shared" si="6"/>
        <v>Old</v>
      </c>
      <c r="N443" t="s">
        <v>15</v>
      </c>
    </row>
    <row r="444" spans="1:14" x14ac:dyDescent="0.25">
      <c r="A444">
        <v>26651</v>
      </c>
      <c r="B444" s="3"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s="3"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s="3"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s="3"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s="3"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25">
      <c r="A449">
        <v>20711</v>
      </c>
      <c r="B449" s="3"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s="3"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s="3" t="s">
        <v>36</v>
      </c>
      <c r="C451" t="s">
        <v>38</v>
      </c>
      <c r="D451" s="4">
        <v>40000</v>
      </c>
      <c r="E451">
        <v>1</v>
      </c>
      <c r="F451" t="s">
        <v>13</v>
      </c>
      <c r="G451" t="s">
        <v>14</v>
      </c>
      <c r="H451" t="s">
        <v>15</v>
      </c>
      <c r="I451">
        <v>0</v>
      </c>
      <c r="J451" t="s">
        <v>16</v>
      </c>
      <c r="K451" t="s">
        <v>17</v>
      </c>
      <c r="L451">
        <v>42</v>
      </c>
      <c r="M451" t="str">
        <f t="shared" ref="M451:M514" si="7">IF(L451&gt;51,"Old",IF(L453&gt;=31,"Middle Age",IF(L451&lt;31,"Adolescent","Invalide")))</f>
        <v>Middle Age</v>
      </c>
      <c r="N451" t="s">
        <v>18</v>
      </c>
    </row>
    <row r="452" spans="1:14" x14ac:dyDescent="0.25">
      <c r="A452">
        <v>16559</v>
      </c>
      <c r="B452" s="3"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s="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s="3"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s="3"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s="3"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s="3" t="s">
        <v>36</v>
      </c>
      <c r="C457" t="s">
        <v>38</v>
      </c>
      <c r="D457" s="4">
        <v>80000</v>
      </c>
      <c r="E457">
        <v>4</v>
      </c>
      <c r="F457" t="s">
        <v>19</v>
      </c>
      <c r="G457" t="s">
        <v>21</v>
      </c>
      <c r="H457" t="s">
        <v>18</v>
      </c>
      <c r="I457">
        <v>1</v>
      </c>
      <c r="J457" t="s">
        <v>22</v>
      </c>
      <c r="K457" t="s">
        <v>17</v>
      </c>
      <c r="L457">
        <v>53</v>
      </c>
      <c r="M457" t="str">
        <f t="shared" si="7"/>
        <v>Old</v>
      </c>
      <c r="N457" t="s">
        <v>15</v>
      </c>
    </row>
    <row r="458" spans="1:14" x14ac:dyDescent="0.25">
      <c r="A458">
        <v>26385</v>
      </c>
      <c r="B458" s="3"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s="3"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s="3"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25">
      <c r="A461">
        <v>21554</v>
      </c>
      <c r="B461" s="3"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25">
      <c r="A462">
        <v>13662</v>
      </c>
      <c r="B462" s="3"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s="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s="3"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s="3"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s="3"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s="3"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s="3"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s="3"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s="3" t="s">
        <v>36</v>
      </c>
      <c r="C470" t="s">
        <v>38</v>
      </c>
      <c r="D470" s="4">
        <v>80000</v>
      </c>
      <c r="E470">
        <v>5</v>
      </c>
      <c r="F470" t="s">
        <v>31</v>
      </c>
      <c r="G470" t="s">
        <v>28</v>
      </c>
      <c r="H470" t="s">
        <v>15</v>
      </c>
      <c r="I470">
        <v>3</v>
      </c>
      <c r="J470" t="s">
        <v>16</v>
      </c>
      <c r="K470" t="s">
        <v>24</v>
      </c>
      <c r="L470">
        <v>40</v>
      </c>
      <c r="M470" t="str">
        <f t="shared" si="7"/>
        <v>Invalide</v>
      </c>
      <c r="N470" t="s">
        <v>18</v>
      </c>
    </row>
    <row r="471" spans="1:14" x14ac:dyDescent="0.25">
      <c r="A471">
        <v>20147</v>
      </c>
      <c r="B471" s="3"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s="3" t="s">
        <v>37</v>
      </c>
      <c r="C472" t="s">
        <v>39</v>
      </c>
      <c r="D472" s="4">
        <v>30000</v>
      </c>
      <c r="E472">
        <v>0</v>
      </c>
      <c r="F472" t="s">
        <v>27</v>
      </c>
      <c r="G472" t="s">
        <v>25</v>
      </c>
      <c r="H472" t="s">
        <v>18</v>
      </c>
      <c r="I472">
        <v>1</v>
      </c>
      <c r="J472" t="s">
        <v>26</v>
      </c>
      <c r="K472" t="s">
        <v>17</v>
      </c>
      <c r="L472">
        <v>28</v>
      </c>
      <c r="M472" t="str">
        <f t="shared" si="7"/>
        <v>Middle Age</v>
      </c>
      <c r="N472" t="s">
        <v>18</v>
      </c>
    </row>
    <row r="473" spans="1:14" x14ac:dyDescent="0.25">
      <c r="A473">
        <v>28323</v>
      </c>
      <c r="B473" s="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s="3"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s="3"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s="3"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s="3"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s="3"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s="3"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s="3"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s="3"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s="3"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s="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s="3"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s="3"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s="3"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s="3"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s="3" t="s">
        <v>36</v>
      </c>
      <c r="C488" t="s">
        <v>38</v>
      </c>
      <c r="D488" s="4">
        <v>90000</v>
      </c>
      <c r="E488">
        <v>4</v>
      </c>
      <c r="F488" t="s">
        <v>29</v>
      </c>
      <c r="G488" t="s">
        <v>14</v>
      </c>
      <c r="H488" t="s">
        <v>15</v>
      </c>
      <c r="I488">
        <v>4</v>
      </c>
      <c r="J488" t="s">
        <v>46</v>
      </c>
      <c r="K488" t="s">
        <v>17</v>
      </c>
      <c r="L488">
        <v>58</v>
      </c>
      <c r="M488" t="str">
        <f t="shared" si="7"/>
        <v>Old</v>
      </c>
      <c r="N488" t="s">
        <v>18</v>
      </c>
    </row>
    <row r="489" spans="1:14" x14ac:dyDescent="0.25">
      <c r="A489">
        <v>12821</v>
      </c>
      <c r="B489" s="3"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s="3"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s="3"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s="3"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s="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s="3"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s="3" t="s">
        <v>37</v>
      </c>
      <c r="C495" t="s">
        <v>39</v>
      </c>
      <c r="D495" s="4">
        <v>70000</v>
      </c>
      <c r="E495">
        <v>5</v>
      </c>
      <c r="F495" t="s">
        <v>13</v>
      </c>
      <c r="G495" t="s">
        <v>28</v>
      </c>
      <c r="H495" t="s">
        <v>15</v>
      </c>
      <c r="I495">
        <v>3</v>
      </c>
      <c r="J495" t="s">
        <v>46</v>
      </c>
      <c r="K495" t="s">
        <v>32</v>
      </c>
      <c r="L495">
        <v>60</v>
      </c>
      <c r="M495" t="str">
        <f t="shared" si="7"/>
        <v>Old</v>
      </c>
      <c r="N495" t="s">
        <v>15</v>
      </c>
    </row>
    <row r="496" spans="1:14" x14ac:dyDescent="0.25">
      <c r="A496">
        <v>27650</v>
      </c>
      <c r="B496" s="3"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s="3" t="s">
        <v>36</v>
      </c>
      <c r="C497" t="s">
        <v>39</v>
      </c>
      <c r="D497" s="4">
        <v>60000</v>
      </c>
      <c r="E497">
        <v>2</v>
      </c>
      <c r="F497" t="s">
        <v>19</v>
      </c>
      <c r="G497" t="s">
        <v>21</v>
      </c>
      <c r="H497" t="s">
        <v>15</v>
      </c>
      <c r="I497">
        <v>2</v>
      </c>
      <c r="J497" t="s">
        <v>46</v>
      </c>
      <c r="K497" t="s">
        <v>32</v>
      </c>
      <c r="L497">
        <v>56</v>
      </c>
      <c r="M497" t="str">
        <f t="shared" si="7"/>
        <v>Old</v>
      </c>
      <c r="N497" t="s">
        <v>18</v>
      </c>
    </row>
    <row r="498" spans="1:14" x14ac:dyDescent="0.25">
      <c r="A498">
        <v>20678</v>
      </c>
      <c r="B498" s="3"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s="3"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s="3"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s="3"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s="3" t="s">
        <v>36</v>
      </c>
      <c r="C502" t="s">
        <v>39</v>
      </c>
      <c r="D502" s="4">
        <v>60000</v>
      </c>
      <c r="E502">
        <v>5</v>
      </c>
      <c r="F502" t="s">
        <v>13</v>
      </c>
      <c r="G502" t="s">
        <v>21</v>
      </c>
      <c r="H502" t="s">
        <v>15</v>
      </c>
      <c r="I502">
        <v>1</v>
      </c>
      <c r="J502" t="s">
        <v>22</v>
      </c>
      <c r="K502" t="s">
        <v>32</v>
      </c>
      <c r="L502">
        <v>47</v>
      </c>
      <c r="M502" t="str">
        <f t="shared" si="7"/>
        <v>Invalide</v>
      </c>
      <c r="N502" t="s">
        <v>18</v>
      </c>
    </row>
    <row r="503" spans="1:14" x14ac:dyDescent="0.25">
      <c r="A503">
        <v>19235</v>
      </c>
      <c r="B503" s="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s="3" t="s">
        <v>36</v>
      </c>
      <c r="C504" t="s">
        <v>39</v>
      </c>
      <c r="D504" s="4">
        <v>40000</v>
      </c>
      <c r="E504">
        <v>0</v>
      </c>
      <c r="F504" t="s">
        <v>19</v>
      </c>
      <c r="G504" t="s">
        <v>14</v>
      </c>
      <c r="H504" t="s">
        <v>15</v>
      </c>
      <c r="I504">
        <v>1</v>
      </c>
      <c r="J504" t="s">
        <v>23</v>
      </c>
      <c r="K504" t="s">
        <v>32</v>
      </c>
      <c r="L504">
        <v>29</v>
      </c>
      <c r="M504" t="str">
        <f t="shared" si="7"/>
        <v>Middle Age</v>
      </c>
      <c r="N504" t="s">
        <v>18</v>
      </c>
    </row>
    <row r="505" spans="1:14" x14ac:dyDescent="0.25">
      <c r="A505">
        <v>20339</v>
      </c>
      <c r="B505" s="3"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s="3"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s="3"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s="3" t="s">
        <v>36</v>
      </c>
      <c r="C508" t="s">
        <v>38</v>
      </c>
      <c r="D508" s="4">
        <v>70000</v>
      </c>
      <c r="E508">
        <v>4</v>
      </c>
      <c r="F508" t="s">
        <v>13</v>
      </c>
      <c r="G508" t="s">
        <v>21</v>
      </c>
      <c r="H508" t="s">
        <v>15</v>
      </c>
      <c r="I508">
        <v>2</v>
      </c>
      <c r="J508" t="s">
        <v>22</v>
      </c>
      <c r="K508" t="s">
        <v>32</v>
      </c>
      <c r="L508">
        <v>42</v>
      </c>
      <c r="M508" t="str">
        <f t="shared" si="7"/>
        <v>Invalide</v>
      </c>
      <c r="N508" t="s">
        <v>15</v>
      </c>
    </row>
    <row r="509" spans="1:14" x14ac:dyDescent="0.25">
      <c r="A509">
        <v>24738</v>
      </c>
      <c r="B509" s="3"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s="3" t="s">
        <v>36</v>
      </c>
      <c r="C510" t="s">
        <v>39</v>
      </c>
      <c r="D510" s="4">
        <v>60000</v>
      </c>
      <c r="E510">
        <v>0</v>
      </c>
      <c r="F510" t="s">
        <v>19</v>
      </c>
      <c r="G510" t="s">
        <v>14</v>
      </c>
      <c r="H510" t="s">
        <v>18</v>
      </c>
      <c r="I510">
        <v>2</v>
      </c>
      <c r="J510" t="s">
        <v>26</v>
      </c>
      <c r="K510" t="s">
        <v>32</v>
      </c>
      <c r="L510">
        <v>29</v>
      </c>
      <c r="M510" t="str">
        <f t="shared" si="7"/>
        <v>Middle Age</v>
      </c>
      <c r="N510" t="s">
        <v>18</v>
      </c>
    </row>
    <row r="511" spans="1:14" x14ac:dyDescent="0.25">
      <c r="A511">
        <v>24357</v>
      </c>
      <c r="B511" s="3"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s="3"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s="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s="3"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s="3" t="s">
        <v>37</v>
      </c>
      <c r="C515" t="s">
        <v>38</v>
      </c>
      <c r="D515" s="4">
        <v>60000</v>
      </c>
      <c r="E515">
        <v>4</v>
      </c>
      <c r="F515" t="s">
        <v>31</v>
      </c>
      <c r="G515" t="s">
        <v>28</v>
      </c>
      <c r="H515" t="s">
        <v>15</v>
      </c>
      <c r="I515">
        <v>2</v>
      </c>
      <c r="J515" t="s">
        <v>46</v>
      </c>
      <c r="K515" t="s">
        <v>32</v>
      </c>
      <c r="L515">
        <v>61</v>
      </c>
      <c r="M515" t="str">
        <f t="shared" ref="M515:M578" si="8">IF(L515&gt;51,"Old",IF(L517&gt;=31,"Middle Age",IF(L515&lt;31,"Adolescent","Invalide")))</f>
        <v>Old</v>
      </c>
      <c r="N515" t="s">
        <v>15</v>
      </c>
    </row>
    <row r="516" spans="1:14" x14ac:dyDescent="0.25">
      <c r="A516">
        <v>19399</v>
      </c>
      <c r="B516" s="3"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s="3"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s="3"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s="3"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s="3"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s="3"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s="3"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s="3" t="s">
        <v>37</v>
      </c>
      <c r="C523" t="s">
        <v>39</v>
      </c>
      <c r="D523" s="4">
        <v>40000</v>
      </c>
      <c r="E523">
        <v>4</v>
      </c>
      <c r="F523" t="s">
        <v>27</v>
      </c>
      <c r="G523" t="s">
        <v>21</v>
      </c>
      <c r="H523" t="s">
        <v>15</v>
      </c>
      <c r="I523">
        <v>2</v>
      </c>
      <c r="J523" t="s">
        <v>46</v>
      </c>
      <c r="K523" t="s">
        <v>32</v>
      </c>
      <c r="L523">
        <v>62</v>
      </c>
      <c r="M523" t="str">
        <f t="shared" si="8"/>
        <v>Old</v>
      </c>
      <c r="N523" t="s">
        <v>15</v>
      </c>
    </row>
    <row r="524" spans="1:14" x14ac:dyDescent="0.25">
      <c r="A524">
        <v>19413</v>
      </c>
      <c r="B524" s="3"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s="3"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s="3"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s="3" t="s">
        <v>37</v>
      </c>
      <c r="C527" t="s">
        <v>39</v>
      </c>
      <c r="D527" s="4">
        <v>60000</v>
      </c>
      <c r="E527">
        <v>5</v>
      </c>
      <c r="F527" t="s">
        <v>13</v>
      </c>
      <c r="G527" t="s">
        <v>28</v>
      </c>
      <c r="H527" t="s">
        <v>15</v>
      </c>
      <c r="I527">
        <v>3</v>
      </c>
      <c r="J527" t="s">
        <v>46</v>
      </c>
      <c r="K527" t="s">
        <v>32</v>
      </c>
      <c r="L527">
        <v>59</v>
      </c>
      <c r="M527" t="str">
        <f t="shared" si="8"/>
        <v>Old</v>
      </c>
      <c r="N527" t="s">
        <v>15</v>
      </c>
    </row>
    <row r="528" spans="1:14" x14ac:dyDescent="0.25">
      <c r="A528">
        <v>15382</v>
      </c>
      <c r="B528" s="3" t="s">
        <v>36</v>
      </c>
      <c r="C528" t="s">
        <v>38</v>
      </c>
      <c r="D528" s="4">
        <v>110000</v>
      </c>
      <c r="E528">
        <v>1</v>
      </c>
      <c r="F528" t="s">
        <v>13</v>
      </c>
      <c r="G528" t="s">
        <v>28</v>
      </c>
      <c r="H528" t="s">
        <v>15</v>
      </c>
      <c r="I528">
        <v>2</v>
      </c>
      <c r="J528" t="s">
        <v>26</v>
      </c>
      <c r="K528" t="s">
        <v>32</v>
      </c>
      <c r="L528">
        <v>44</v>
      </c>
      <c r="M528" t="str">
        <f t="shared" si="8"/>
        <v>Invalide</v>
      </c>
      <c r="N528" t="s">
        <v>18</v>
      </c>
    </row>
    <row r="529" spans="1:14" x14ac:dyDescent="0.25">
      <c r="A529">
        <v>11641</v>
      </c>
      <c r="B529" s="3"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s="3"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s="3" t="s">
        <v>36</v>
      </c>
      <c r="C531" t="s">
        <v>39</v>
      </c>
      <c r="D531" s="4">
        <v>60000</v>
      </c>
      <c r="E531">
        <v>2</v>
      </c>
      <c r="F531" t="s">
        <v>19</v>
      </c>
      <c r="G531" t="s">
        <v>21</v>
      </c>
      <c r="H531" t="s">
        <v>15</v>
      </c>
      <c r="I531">
        <v>1</v>
      </c>
      <c r="J531" t="s">
        <v>46</v>
      </c>
      <c r="K531" t="s">
        <v>32</v>
      </c>
      <c r="L531">
        <v>57</v>
      </c>
      <c r="M531" t="str">
        <f t="shared" si="8"/>
        <v>Old</v>
      </c>
      <c r="N531" t="s">
        <v>15</v>
      </c>
    </row>
    <row r="532" spans="1:14" x14ac:dyDescent="0.25">
      <c r="A532">
        <v>25909</v>
      </c>
      <c r="B532" s="3" t="s">
        <v>36</v>
      </c>
      <c r="C532" t="s">
        <v>39</v>
      </c>
      <c r="D532" s="4">
        <v>60000</v>
      </c>
      <c r="E532">
        <v>0</v>
      </c>
      <c r="F532" t="s">
        <v>19</v>
      </c>
      <c r="G532" t="s">
        <v>14</v>
      </c>
      <c r="H532" t="s">
        <v>15</v>
      </c>
      <c r="I532">
        <v>1</v>
      </c>
      <c r="J532" t="s">
        <v>23</v>
      </c>
      <c r="K532" t="s">
        <v>32</v>
      </c>
      <c r="L532">
        <v>27</v>
      </c>
      <c r="M532" t="str">
        <f t="shared" si="8"/>
        <v>Middle Age</v>
      </c>
      <c r="N532" t="s">
        <v>15</v>
      </c>
    </row>
    <row r="533" spans="1:14" x14ac:dyDescent="0.25">
      <c r="A533">
        <v>14092</v>
      </c>
      <c r="B533" s="3" t="s">
        <v>37</v>
      </c>
      <c r="C533" t="s">
        <v>39</v>
      </c>
      <c r="D533" s="4">
        <v>30000</v>
      </c>
      <c r="E533">
        <v>0</v>
      </c>
      <c r="F533" t="s">
        <v>29</v>
      </c>
      <c r="G533" t="s">
        <v>20</v>
      </c>
      <c r="H533" t="s">
        <v>15</v>
      </c>
      <c r="I533">
        <v>2</v>
      </c>
      <c r="J533" t="s">
        <v>23</v>
      </c>
      <c r="K533" t="s">
        <v>32</v>
      </c>
      <c r="L533">
        <v>28</v>
      </c>
      <c r="M533" t="str">
        <f t="shared" si="8"/>
        <v>Middle Age</v>
      </c>
      <c r="N533" t="s">
        <v>18</v>
      </c>
    </row>
    <row r="534" spans="1:14" x14ac:dyDescent="0.25">
      <c r="A534">
        <v>29143</v>
      </c>
      <c r="B534" s="3"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s="3" t="s">
        <v>36</v>
      </c>
      <c r="C535" t="s">
        <v>39</v>
      </c>
      <c r="D535" s="4">
        <v>60000</v>
      </c>
      <c r="E535">
        <v>3</v>
      </c>
      <c r="F535" t="s">
        <v>13</v>
      </c>
      <c r="G535" t="s">
        <v>28</v>
      </c>
      <c r="H535" t="s">
        <v>15</v>
      </c>
      <c r="I535">
        <v>2</v>
      </c>
      <c r="J535" t="s">
        <v>46</v>
      </c>
      <c r="K535" t="s">
        <v>32</v>
      </c>
      <c r="L535">
        <v>66</v>
      </c>
      <c r="M535" t="str">
        <f t="shared" si="8"/>
        <v>Old</v>
      </c>
      <c r="N535" t="s">
        <v>18</v>
      </c>
    </row>
    <row r="536" spans="1:14" x14ac:dyDescent="0.25">
      <c r="A536">
        <v>24637</v>
      </c>
      <c r="B536" s="3" t="s">
        <v>36</v>
      </c>
      <c r="C536" t="s">
        <v>39</v>
      </c>
      <c r="D536" s="4">
        <v>40000</v>
      </c>
      <c r="E536">
        <v>4</v>
      </c>
      <c r="F536" t="s">
        <v>27</v>
      </c>
      <c r="G536" t="s">
        <v>21</v>
      </c>
      <c r="H536" t="s">
        <v>15</v>
      </c>
      <c r="I536">
        <v>2</v>
      </c>
      <c r="J536" t="s">
        <v>46</v>
      </c>
      <c r="K536" t="s">
        <v>32</v>
      </c>
      <c r="L536">
        <v>64</v>
      </c>
      <c r="M536" t="str">
        <f t="shared" si="8"/>
        <v>Old</v>
      </c>
      <c r="N536" t="s">
        <v>18</v>
      </c>
    </row>
    <row r="537" spans="1:14" x14ac:dyDescent="0.25">
      <c r="A537">
        <v>23893</v>
      </c>
      <c r="B537" s="3"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25">
      <c r="A538">
        <v>13907</v>
      </c>
      <c r="B538" s="3"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s="3"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s="3"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s="3"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s="3" t="s">
        <v>37</v>
      </c>
      <c r="C542" t="s">
        <v>38</v>
      </c>
      <c r="D542" s="4">
        <v>70000</v>
      </c>
      <c r="E542">
        <v>3</v>
      </c>
      <c r="F542" t="s">
        <v>31</v>
      </c>
      <c r="G542" t="s">
        <v>28</v>
      </c>
      <c r="H542" t="s">
        <v>15</v>
      </c>
      <c r="I542">
        <v>2</v>
      </c>
      <c r="J542" t="s">
        <v>26</v>
      </c>
      <c r="K542" t="s">
        <v>32</v>
      </c>
      <c r="L542">
        <v>52</v>
      </c>
      <c r="M542" t="str">
        <f t="shared" si="8"/>
        <v>Old</v>
      </c>
      <c r="N542" t="s">
        <v>18</v>
      </c>
    </row>
    <row r="543" spans="1:14" x14ac:dyDescent="0.25">
      <c r="A543">
        <v>25375</v>
      </c>
      <c r="B543" s="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s="3" t="s">
        <v>36</v>
      </c>
      <c r="C544" t="s">
        <v>39</v>
      </c>
      <c r="D544" s="4">
        <v>40000</v>
      </c>
      <c r="E544">
        <v>0</v>
      </c>
      <c r="F544" t="s">
        <v>27</v>
      </c>
      <c r="G544" t="s">
        <v>14</v>
      </c>
      <c r="H544" t="s">
        <v>15</v>
      </c>
      <c r="I544">
        <v>2</v>
      </c>
      <c r="J544" t="s">
        <v>23</v>
      </c>
      <c r="K544" t="s">
        <v>32</v>
      </c>
      <c r="L544">
        <v>29</v>
      </c>
      <c r="M544" t="str">
        <f t="shared" si="8"/>
        <v>Middle Age</v>
      </c>
      <c r="N544" t="s">
        <v>18</v>
      </c>
    </row>
    <row r="545" spans="1:14" x14ac:dyDescent="0.25">
      <c r="A545">
        <v>25898</v>
      </c>
      <c r="B545" s="3" t="s">
        <v>36</v>
      </c>
      <c r="C545" t="s">
        <v>38</v>
      </c>
      <c r="D545" s="4">
        <v>70000</v>
      </c>
      <c r="E545">
        <v>2</v>
      </c>
      <c r="F545" t="s">
        <v>27</v>
      </c>
      <c r="G545" t="s">
        <v>21</v>
      </c>
      <c r="H545" t="s">
        <v>15</v>
      </c>
      <c r="I545">
        <v>2</v>
      </c>
      <c r="J545" t="s">
        <v>22</v>
      </c>
      <c r="K545" t="s">
        <v>32</v>
      </c>
      <c r="L545">
        <v>53</v>
      </c>
      <c r="M545" t="str">
        <f t="shared" si="8"/>
        <v>Old</v>
      </c>
      <c r="N545" t="s">
        <v>18</v>
      </c>
    </row>
    <row r="546" spans="1:14" x14ac:dyDescent="0.25">
      <c r="A546">
        <v>24397</v>
      </c>
      <c r="B546" s="3"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s="3" t="s">
        <v>37</v>
      </c>
      <c r="C547" t="s">
        <v>39</v>
      </c>
      <c r="D547" s="4">
        <v>60000</v>
      </c>
      <c r="E547">
        <v>0</v>
      </c>
      <c r="F547" t="s">
        <v>19</v>
      </c>
      <c r="G547" t="s">
        <v>14</v>
      </c>
      <c r="H547" t="s">
        <v>18</v>
      </c>
      <c r="I547">
        <v>2</v>
      </c>
      <c r="J547" t="s">
        <v>26</v>
      </c>
      <c r="K547" t="s">
        <v>32</v>
      </c>
      <c r="L547">
        <v>29</v>
      </c>
      <c r="M547" t="str">
        <f t="shared" si="8"/>
        <v>Middle Age</v>
      </c>
      <c r="N547" t="s">
        <v>18</v>
      </c>
    </row>
    <row r="548" spans="1:14" x14ac:dyDescent="0.25">
      <c r="A548">
        <v>15529</v>
      </c>
      <c r="B548" s="3"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s="3" t="s">
        <v>36</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s="3"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s="3"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s="3"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s="3" t="s">
        <v>36</v>
      </c>
      <c r="C553" t="s">
        <v>38</v>
      </c>
      <c r="D553" s="4">
        <v>50000</v>
      </c>
      <c r="E553">
        <v>4</v>
      </c>
      <c r="F553" t="s">
        <v>13</v>
      </c>
      <c r="G553" t="s">
        <v>28</v>
      </c>
      <c r="H553" t="s">
        <v>15</v>
      </c>
      <c r="I553">
        <v>2</v>
      </c>
      <c r="J553" t="s">
        <v>46</v>
      </c>
      <c r="K553" t="s">
        <v>32</v>
      </c>
      <c r="L553">
        <v>63</v>
      </c>
      <c r="M553" t="str">
        <f t="shared" si="8"/>
        <v>Old</v>
      </c>
      <c r="N553" t="s">
        <v>18</v>
      </c>
    </row>
    <row r="554" spans="1:14" x14ac:dyDescent="0.25">
      <c r="A554">
        <v>14417</v>
      </c>
      <c r="B554" s="3" t="s">
        <v>37</v>
      </c>
      <c r="C554" t="s">
        <v>39</v>
      </c>
      <c r="D554" s="4">
        <v>60000</v>
      </c>
      <c r="E554">
        <v>3</v>
      </c>
      <c r="F554" t="s">
        <v>27</v>
      </c>
      <c r="G554" t="s">
        <v>21</v>
      </c>
      <c r="H554" t="s">
        <v>15</v>
      </c>
      <c r="I554">
        <v>2</v>
      </c>
      <c r="J554" t="s">
        <v>46</v>
      </c>
      <c r="K554" t="s">
        <v>32</v>
      </c>
      <c r="L554">
        <v>54</v>
      </c>
      <c r="M554" t="str">
        <f t="shared" si="8"/>
        <v>Old</v>
      </c>
      <c r="N554" t="s">
        <v>15</v>
      </c>
    </row>
    <row r="555" spans="1:14" x14ac:dyDescent="0.25">
      <c r="A555">
        <v>17533</v>
      </c>
      <c r="B555" s="3"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s="3"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s="3"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s="3"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s="3"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s="3"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s="3" t="s">
        <v>37</v>
      </c>
      <c r="C561" t="s">
        <v>38</v>
      </c>
      <c r="D561" s="4">
        <v>60000</v>
      </c>
      <c r="E561">
        <v>2</v>
      </c>
      <c r="F561" t="s">
        <v>13</v>
      </c>
      <c r="G561" t="s">
        <v>28</v>
      </c>
      <c r="H561" t="s">
        <v>15</v>
      </c>
      <c r="I561">
        <v>0</v>
      </c>
      <c r="J561" t="s">
        <v>46</v>
      </c>
      <c r="K561" t="s">
        <v>32</v>
      </c>
      <c r="L561">
        <v>58</v>
      </c>
      <c r="M561" t="str">
        <f t="shared" si="8"/>
        <v>Old</v>
      </c>
      <c r="N561" t="s">
        <v>18</v>
      </c>
    </row>
    <row r="562" spans="1:14" x14ac:dyDescent="0.25">
      <c r="A562">
        <v>18577</v>
      </c>
      <c r="B562" s="3"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s="3" t="s">
        <v>36</v>
      </c>
      <c r="C563" t="s">
        <v>38</v>
      </c>
      <c r="D563" s="4">
        <v>20000</v>
      </c>
      <c r="E563">
        <v>2</v>
      </c>
      <c r="F563" t="s">
        <v>29</v>
      </c>
      <c r="G563" t="s">
        <v>20</v>
      </c>
      <c r="H563" t="s">
        <v>18</v>
      </c>
      <c r="I563">
        <v>0</v>
      </c>
      <c r="J563" t="s">
        <v>16</v>
      </c>
      <c r="K563" t="s">
        <v>32</v>
      </c>
      <c r="L563">
        <v>48</v>
      </c>
      <c r="M563" t="str">
        <f t="shared" si="8"/>
        <v>Invalide</v>
      </c>
      <c r="N563" t="s">
        <v>18</v>
      </c>
    </row>
    <row r="564" spans="1:14" x14ac:dyDescent="0.25">
      <c r="A564">
        <v>18560</v>
      </c>
      <c r="B564" s="3" t="s">
        <v>36</v>
      </c>
      <c r="C564" t="s">
        <v>38</v>
      </c>
      <c r="D564" s="4">
        <v>70000</v>
      </c>
      <c r="E564">
        <v>2</v>
      </c>
      <c r="F564" t="s">
        <v>31</v>
      </c>
      <c r="G564" t="s">
        <v>21</v>
      </c>
      <c r="H564" t="s">
        <v>15</v>
      </c>
      <c r="I564">
        <v>0</v>
      </c>
      <c r="J564" t="s">
        <v>22</v>
      </c>
      <c r="K564" t="s">
        <v>32</v>
      </c>
      <c r="L564">
        <v>34</v>
      </c>
      <c r="M564" t="str">
        <f t="shared" si="8"/>
        <v>Invalide</v>
      </c>
      <c r="N564" t="s">
        <v>15</v>
      </c>
    </row>
    <row r="565" spans="1:14" x14ac:dyDescent="0.25">
      <c r="A565">
        <v>25006</v>
      </c>
      <c r="B565" s="3" t="s">
        <v>37</v>
      </c>
      <c r="C565" t="s">
        <v>38</v>
      </c>
      <c r="D565" s="4">
        <v>30000</v>
      </c>
      <c r="E565">
        <v>0</v>
      </c>
      <c r="F565" t="s">
        <v>19</v>
      </c>
      <c r="G565" t="s">
        <v>14</v>
      </c>
      <c r="H565" t="s">
        <v>15</v>
      </c>
      <c r="I565">
        <v>1</v>
      </c>
      <c r="J565" t="s">
        <v>23</v>
      </c>
      <c r="K565" t="s">
        <v>32</v>
      </c>
      <c r="L565">
        <v>28</v>
      </c>
      <c r="M565" t="str">
        <f t="shared" si="8"/>
        <v>Middle Age</v>
      </c>
      <c r="N565" t="s">
        <v>18</v>
      </c>
    </row>
    <row r="566" spans="1:14" x14ac:dyDescent="0.25">
      <c r="A566">
        <v>17369</v>
      </c>
      <c r="B566" s="3" t="s">
        <v>37</v>
      </c>
      <c r="C566" t="s">
        <v>39</v>
      </c>
      <c r="D566" s="4">
        <v>30000</v>
      </c>
      <c r="E566">
        <v>0</v>
      </c>
      <c r="F566" t="s">
        <v>19</v>
      </c>
      <c r="G566" t="s">
        <v>14</v>
      </c>
      <c r="H566" t="s">
        <v>15</v>
      </c>
      <c r="I566">
        <v>1</v>
      </c>
      <c r="J566" t="s">
        <v>23</v>
      </c>
      <c r="K566" t="s">
        <v>32</v>
      </c>
      <c r="L566">
        <v>27</v>
      </c>
      <c r="M566" t="str">
        <f t="shared" si="8"/>
        <v>Middle Age</v>
      </c>
      <c r="N566" t="s">
        <v>18</v>
      </c>
    </row>
    <row r="567" spans="1:14" x14ac:dyDescent="0.25">
      <c r="A567">
        <v>14495</v>
      </c>
      <c r="B567" s="3" t="s">
        <v>36</v>
      </c>
      <c r="C567" t="s">
        <v>39</v>
      </c>
      <c r="D567" s="4">
        <v>40000</v>
      </c>
      <c r="E567">
        <v>3</v>
      </c>
      <c r="F567" t="s">
        <v>19</v>
      </c>
      <c r="G567" t="s">
        <v>21</v>
      </c>
      <c r="H567" t="s">
        <v>18</v>
      </c>
      <c r="I567">
        <v>2</v>
      </c>
      <c r="J567" t="s">
        <v>23</v>
      </c>
      <c r="K567" t="s">
        <v>32</v>
      </c>
      <c r="L567">
        <v>54</v>
      </c>
      <c r="M567" t="str">
        <f t="shared" si="8"/>
        <v>Old</v>
      </c>
      <c r="N567" t="s">
        <v>15</v>
      </c>
    </row>
    <row r="568" spans="1:14" x14ac:dyDescent="0.25">
      <c r="A568">
        <v>18847</v>
      </c>
      <c r="B568" s="3"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s="3"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s="3"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s="3" t="s">
        <v>37</v>
      </c>
      <c r="C571" t="s">
        <v>39</v>
      </c>
      <c r="D571" s="4">
        <v>50000</v>
      </c>
      <c r="E571">
        <v>3</v>
      </c>
      <c r="F571" t="s">
        <v>31</v>
      </c>
      <c r="G571" t="s">
        <v>28</v>
      </c>
      <c r="H571" t="s">
        <v>15</v>
      </c>
      <c r="I571">
        <v>2</v>
      </c>
      <c r="J571" t="s">
        <v>46</v>
      </c>
      <c r="K571" t="s">
        <v>32</v>
      </c>
      <c r="L571">
        <v>69</v>
      </c>
      <c r="M571" t="str">
        <f t="shared" si="8"/>
        <v>Old</v>
      </c>
      <c r="N571" t="s">
        <v>18</v>
      </c>
    </row>
    <row r="572" spans="1:14" x14ac:dyDescent="0.25">
      <c r="A572">
        <v>20370</v>
      </c>
      <c r="B572" s="3" t="s">
        <v>36</v>
      </c>
      <c r="C572" t="s">
        <v>39</v>
      </c>
      <c r="D572" s="4">
        <v>70000</v>
      </c>
      <c r="E572">
        <v>3</v>
      </c>
      <c r="F572" t="s">
        <v>29</v>
      </c>
      <c r="G572" t="s">
        <v>14</v>
      </c>
      <c r="H572" t="s">
        <v>15</v>
      </c>
      <c r="I572">
        <v>2</v>
      </c>
      <c r="J572" t="s">
        <v>23</v>
      </c>
      <c r="K572" t="s">
        <v>32</v>
      </c>
      <c r="L572">
        <v>52</v>
      </c>
      <c r="M572" t="str">
        <f t="shared" si="8"/>
        <v>Old</v>
      </c>
      <c r="N572" t="s">
        <v>18</v>
      </c>
    </row>
    <row r="573" spans="1:14" x14ac:dyDescent="0.25">
      <c r="A573">
        <v>20528</v>
      </c>
      <c r="B573" s="3" t="s">
        <v>36</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s="3" t="s">
        <v>37</v>
      </c>
      <c r="C574" t="s">
        <v>39</v>
      </c>
      <c r="D574" s="4">
        <v>30000</v>
      </c>
      <c r="E574">
        <v>0</v>
      </c>
      <c r="F574" t="s">
        <v>27</v>
      </c>
      <c r="G574" t="s">
        <v>14</v>
      </c>
      <c r="H574" t="s">
        <v>15</v>
      </c>
      <c r="I574">
        <v>2</v>
      </c>
      <c r="J574" t="s">
        <v>23</v>
      </c>
      <c r="K574" t="s">
        <v>32</v>
      </c>
      <c r="L574">
        <v>30</v>
      </c>
      <c r="M574" t="str">
        <f t="shared" si="8"/>
        <v>Middle Age</v>
      </c>
      <c r="N574" t="s">
        <v>18</v>
      </c>
    </row>
    <row r="575" spans="1:14" x14ac:dyDescent="0.25">
      <c r="A575">
        <v>21751</v>
      </c>
      <c r="B575" s="3"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s="3"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s="3" t="s">
        <v>37</v>
      </c>
      <c r="C577" t="s">
        <v>39</v>
      </c>
      <c r="D577" s="4">
        <v>60000</v>
      </c>
      <c r="E577">
        <v>2</v>
      </c>
      <c r="F577" t="s">
        <v>19</v>
      </c>
      <c r="G577" t="s">
        <v>21</v>
      </c>
      <c r="H577" t="s">
        <v>15</v>
      </c>
      <c r="I577">
        <v>1</v>
      </c>
      <c r="J577" t="s">
        <v>46</v>
      </c>
      <c r="K577" t="s">
        <v>32</v>
      </c>
      <c r="L577">
        <v>56</v>
      </c>
      <c r="M577" t="str">
        <f t="shared" si="8"/>
        <v>Old</v>
      </c>
      <c r="N577" t="s">
        <v>18</v>
      </c>
    </row>
    <row r="578" spans="1:14" x14ac:dyDescent="0.25">
      <c r="A578">
        <v>18752</v>
      </c>
      <c r="B578" s="3"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s="3" t="s">
        <v>36</v>
      </c>
      <c r="C579" t="s">
        <v>39</v>
      </c>
      <c r="D579" s="4">
        <v>120000</v>
      </c>
      <c r="E579">
        <v>1</v>
      </c>
      <c r="F579" t="s">
        <v>13</v>
      </c>
      <c r="G579" t="s">
        <v>28</v>
      </c>
      <c r="H579" t="s">
        <v>15</v>
      </c>
      <c r="I579">
        <v>4</v>
      </c>
      <c r="J579" t="s">
        <v>16</v>
      </c>
      <c r="K579" t="s">
        <v>32</v>
      </c>
      <c r="L579">
        <v>38</v>
      </c>
      <c r="M579" t="str">
        <f t="shared" ref="M579:M642" si="9">IF(L579&gt;51,"Old",IF(L581&gt;=31,"Middle Age",IF(L579&lt;31,"Adolescent","Invalide")))</f>
        <v>Middle Age</v>
      </c>
      <c r="N579" t="s">
        <v>18</v>
      </c>
    </row>
    <row r="580" spans="1:14" x14ac:dyDescent="0.25">
      <c r="A580">
        <v>15313</v>
      </c>
      <c r="B580" s="3"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s="3" t="s">
        <v>37</v>
      </c>
      <c r="C581" t="s">
        <v>38</v>
      </c>
      <c r="D581" s="4">
        <v>40000</v>
      </c>
      <c r="E581">
        <v>3</v>
      </c>
      <c r="F581" t="s">
        <v>19</v>
      </c>
      <c r="G581" t="s">
        <v>20</v>
      </c>
      <c r="H581" t="s">
        <v>18</v>
      </c>
      <c r="I581">
        <v>2</v>
      </c>
      <c r="J581" t="s">
        <v>16</v>
      </c>
      <c r="K581" t="s">
        <v>32</v>
      </c>
      <c r="L581">
        <v>32</v>
      </c>
      <c r="M581" t="str">
        <f t="shared" si="9"/>
        <v>Invalide</v>
      </c>
      <c r="N581" t="s">
        <v>18</v>
      </c>
    </row>
    <row r="582" spans="1:14" x14ac:dyDescent="0.25">
      <c r="A582">
        <v>20380</v>
      </c>
      <c r="B582" s="3" t="s">
        <v>36</v>
      </c>
      <c r="C582" t="s">
        <v>38</v>
      </c>
      <c r="D582" s="4">
        <v>60000</v>
      </c>
      <c r="E582">
        <v>3</v>
      </c>
      <c r="F582" t="s">
        <v>31</v>
      </c>
      <c r="G582" t="s">
        <v>28</v>
      </c>
      <c r="H582" t="s">
        <v>15</v>
      </c>
      <c r="I582">
        <v>2</v>
      </c>
      <c r="J582" t="s">
        <v>46</v>
      </c>
      <c r="K582" t="s">
        <v>32</v>
      </c>
      <c r="L582">
        <v>69</v>
      </c>
      <c r="M582" t="str">
        <f t="shared" si="9"/>
        <v>Old</v>
      </c>
      <c r="N582" t="s">
        <v>18</v>
      </c>
    </row>
    <row r="583" spans="1:14" x14ac:dyDescent="0.25">
      <c r="A583">
        <v>23089</v>
      </c>
      <c r="B583" s="3" t="s">
        <v>36</v>
      </c>
      <c r="C583" t="s">
        <v>39</v>
      </c>
      <c r="D583" s="4">
        <v>40000</v>
      </c>
      <c r="E583">
        <v>0</v>
      </c>
      <c r="F583" t="s">
        <v>19</v>
      </c>
      <c r="G583" t="s">
        <v>14</v>
      </c>
      <c r="H583" t="s">
        <v>15</v>
      </c>
      <c r="I583">
        <v>1</v>
      </c>
      <c r="J583" t="s">
        <v>23</v>
      </c>
      <c r="K583" t="s">
        <v>32</v>
      </c>
      <c r="L583">
        <v>28</v>
      </c>
      <c r="M583" t="str">
        <f t="shared" si="9"/>
        <v>Middle Age</v>
      </c>
      <c r="N583" t="s">
        <v>18</v>
      </c>
    </row>
    <row r="584" spans="1:14" x14ac:dyDescent="0.25">
      <c r="A584">
        <v>13749</v>
      </c>
      <c r="B584" s="3"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s="3" t="s">
        <v>36</v>
      </c>
      <c r="C585" t="s">
        <v>39</v>
      </c>
      <c r="D585" s="4">
        <v>60000</v>
      </c>
      <c r="E585">
        <v>3</v>
      </c>
      <c r="F585" t="s">
        <v>13</v>
      </c>
      <c r="G585" t="s">
        <v>28</v>
      </c>
      <c r="H585" t="s">
        <v>15</v>
      </c>
      <c r="I585">
        <v>2</v>
      </c>
      <c r="J585" t="s">
        <v>46</v>
      </c>
      <c r="K585" t="s">
        <v>32</v>
      </c>
      <c r="L585">
        <v>66</v>
      </c>
      <c r="M585" t="str">
        <f t="shared" si="9"/>
        <v>Old</v>
      </c>
      <c r="N585" t="s">
        <v>18</v>
      </c>
    </row>
    <row r="586" spans="1:14" x14ac:dyDescent="0.25">
      <c r="A586">
        <v>28667</v>
      </c>
      <c r="B586" s="3"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s="3"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s="3"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s="3"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s="3"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25">
      <c r="A591">
        <v>12100</v>
      </c>
      <c r="B591" s="3" t="s">
        <v>37</v>
      </c>
      <c r="C591" t="s">
        <v>39</v>
      </c>
      <c r="D591" s="4">
        <v>60000</v>
      </c>
      <c r="E591">
        <v>2</v>
      </c>
      <c r="F591" t="s">
        <v>13</v>
      </c>
      <c r="G591" t="s">
        <v>28</v>
      </c>
      <c r="H591" t="s">
        <v>15</v>
      </c>
      <c r="I591">
        <v>0</v>
      </c>
      <c r="J591" t="s">
        <v>46</v>
      </c>
      <c r="K591" t="s">
        <v>32</v>
      </c>
      <c r="L591">
        <v>57</v>
      </c>
      <c r="M591" t="str">
        <f t="shared" si="9"/>
        <v>Old</v>
      </c>
      <c r="N591" t="s">
        <v>18</v>
      </c>
    </row>
    <row r="592" spans="1:14" x14ac:dyDescent="0.25">
      <c r="A592">
        <v>23158</v>
      </c>
      <c r="B592" s="3"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s="3" t="s">
        <v>36</v>
      </c>
      <c r="C593" t="s">
        <v>39</v>
      </c>
      <c r="D593" s="4">
        <v>40000</v>
      </c>
      <c r="E593">
        <v>4</v>
      </c>
      <c r="F593" t="s">
        <v>27</v>
      </c>
      <c r="G593" t="s">
        <v>21</v>
      </c>
      <c r="H593" t="s">
        <v>18</v>
      </c>
      <c r="I593">
        <v>2</v>
      </c>
      <c r="J593" t="s">
        <v>46</v>
      </c>
      <c r="K593" t="s">
        <v>32</v>
      </c>
      <c r="L593">
        <v>61</v>
      </c>
      <c r="M593" t="str">
        <f t="shared" si="9"/>
        <v>Old</v>
      </c>
      <c r="N593" t="s">
        <v>15</v>
      </c>
    </row>
    <row r="594" spans="1:14" x14ac:dyDescent="0.25">
      <c r="A594">
        <v>18391</v>
      </c>
      <c r="B594" s="3"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s="3"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s="3"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s="3"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s="3"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s="3"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s="3"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s="3"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s="3"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s="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s="3" t="s">
        <v>37</v>
      </c>
      <c r="C604" t="s">
        <v>39</v>
      </c>
      <c r="D604" s="4">
        <v>60000</v>
      </c>
      <c r="E604">
        <v>2</v>
      </c>
      <c r="F604" t="s">
        <v>29</v>
      </c>
      <c r="G604" t="s">
        <v>14</v>
      </c>
      <c r="H604" t="s">
        <v>15</v>
      </c>
      <c r="I604">
        <v>2</v>
      </c>
      <c r="J604" t="s">
        <v>23</v>
      </c>
      <c r="K604" t="s">
        <v>32</v>
      </c>
      <c r="L604">
        <v>52</v>
      </c>
      <c r="M604" t="str">
        <f t="shared" si="9"/>
        <v>Old</v>
      </c>
      <c r="N604" t="s">
        <v>15</v>
      </c>
    </row>
    <row r="605" spans="1:14" x14ac:dyDescent="0.25">
      <c r="A605">
        <v>20000</v>
      </c>
      <c r="B605" s="3"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s="3" t="s">
        <v>36</v>
      </c>
      <c r="C606" t="s">
        <v>39</v>
      </c>
      <c r="D606" s="4">
        <v>40000</v>
      </c>
      <c r="E606">
        <v>0</v>
      </c>
      <c r="F606" t="s">
        <v>27</v>
      </c>
      <c r="G606" t="s">
        <v>14</v>
      </c>
      <c r="H606" t="s">
        <v>15</v>
      </c>
      <c r="I606">
        <v>2</v>
      </c>
      <c r="J606" t="s">
        <v>23</v>
      </c>
      <c r="K606" t="s">
        <v>32</v>
      </c>
      <c r="L606">
        <v>27</v>
      </c>
      <c r="M606" t="str">
        <f t="shared" si="9"/>
        <v>Middle Age</v>
      </c>
      <c r="N606" t="s">
        <v>18</v>
      </c>
    </row>
    <row r="607" spans="1:14" x14ac:dyDescent="0.25">
      <c r="A607">
        <v>17458</v>
      </c>
      <c r="B607" s="3" t="s">
        <v>37</v>
      </c>
      <c r="C607" t="s">
        <v>39</v>
      </c>
      <c r="D607" s="4">
        <v>70000</v>
      </c>
      <c r="E607">
        <v>3</v>
      </c>
      <c r="F607" t="s">
        <v>27</v>
      </c>
      <c r="G607" t="s">
        <v>21</v>
      </c>
      <c r="H607" t="s">
        <v>15</v>
      </c>
      <c r="I607">
        <v>0</v>
      </c>
      <c r="J607" t="s">
        <v>23</v>
      </c>
      <c r="K607" t="s">
        <v>32</v>
      </c>
      <c r="L607">
        <v>52</v>
      </c>
      <c r="M607" t="str">
        <f t="shared" si="9"/>
        <v>Old</v>
      </c>
      <c r="N607" t="s">
        <v>15</v>
      </c>
    </row>
    <row r="608" spans="1:14" x14ac:dyDescent="0.25">
      <c r="A608">
        <v>11644</v>
      </c>
      <c r="B608" s="3"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s="3"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25">
      <c r="A610">
        <v>16890</v>
      </c>
      <c r="B610" s="3" t="s">
        <v>36</v>
      </c>
      <c r="C610" t="s">
        <v>39</v>
      </c>
      <c r="D610" s="4">
        <v>60000</v>
      </c>
      <c r="E610">
        <v>3</v>
      </c>
      <c r="F610" t="s">
        <v>29</v>
      </c>
      <c r="G610" t="s">
        <v>14</v>
      </c>
      <c r="H610" t="s">
        <v>15</v>
      </c>
      <c r="I610">
        <v>2</v>
      </c>
      <c r="J610" t="s">
        <v>23</v>
      </c>
      <c r="K610" t="s">
        <v>32</v>
      </c>
      <c r="L610">
        <v>52</v>
      </c>
      <c r="M610" t="str">
        <f t="shared" si="9"/>
        <v>Old</v>
      </c>
      <c r="N610" t="s">
        <v>15</v>
      </c>
    </row>
    <row r="611" spans="1:14" x14ac:dyDescent="0.25">
      <c r="A611">
        <v>25983</v>
      </c>
      <c r="B611" s="3"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s="3" t="s">
        <v>36</v>
      </c>
      <c r="C612" t="s">
        <v>39</v>
      </c>
      <c r="D612" s="4">
        <v>60000</v>
      </c>
      <c r="E612">
        <v>1</v>
      </c>
      <c r="F612" t="s">
        <v>19</v>
      </c>
      <c r="G612" t="s">
        <v>14</v>
      </c>
      <c r="H612" t="s">
        <v>15</v>
      </c>
      <c r="I612">
        <v>1</v>
      </c>
      <c r="J612" t="s">
        <v>22</v>
      </c>
      <c r="K612" t="s">
        <v>32</v>
      </c>
      <c r="L612">
        <v>44</v>
      </c>
      <c r="M612" t="str">
        <f t="shared" si="9"/>
        <v>Invalide</v>
      </c>
      <c r="N612" t="s">
        <v>18</v>
      </c>
    </row>
    <row r="613" spans="1:14" x14ac:dyDescent="0.25">
      <c r="A613">
        <v>22994</v>
      </c>
      <c r="B613" s="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s="3" t="s">
        <v>37</v>
      </c>
      <c r="C614" t="s">
        <v>38</v>
      </c>
      <c r="D614" s="4">
        <v>30000</v>
      </c>
      <c r="E614">
        <v>0</v>
      </c>
      <c r="F614" t="s">
        <v>29</v>
      </c>
      <c r="G614" t="s">
        <v>20</v>
      </c>
      <c r="H614" t="s">
        <v>15</v>
      </c>
      <c r="I614">
        <v>2</v>
      </c>
      <c r="J614" t="s">
        <v>23</v>
      </c>
      <c r="K614" t="s">
        <v>32</v>
      </c>
      <c r="L614">
        <v>27</v>
      </c>
      <c r="M614" t="str">
        <f t="shared" si="9"/>
        <v>Middle Age</v>
      </c>
      <c r="N614" t="s">
        <v>18</v>
      </c>
    </row>
    <row r="615" spans="1:14" x14ac:dyDescent="0.25">
      <c r="A615">
        <v>25184</v>
      </c>
      <c r="B615" s="3"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s="3"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s="3"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s="3"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s="3" t="s">
        <v>36</v>
      </c>
      <c r="C619" t="s">
        <v>39</v>
      </c>
      <c r="D619" s="4">
        <v>40000</v>
      </c>
      <c r="E619">
        <v>4</v>
      </c>
      <c r="F619" t="s">
        <v>27</v>
      </c>
      <c r="G619" t="s">
        <v>14</v>
      </c>
      <c r="H619" t="s">
        <v>15</v>
      </c>
      <c r="I619">
        <v>2</v>
      </c>
      <c r="J619" t="s">
        <v>22</v>
      </c>
      <c r="K619" t="s">
        <v>32</v>
      </c>
      <c r="L619">
        <v>44</v>
      </c>
      <c r="M619" t="str">
        <f t="shared" si="9"/>
        <v>Invalide</v>
      </c>
      <c r="N619" t="s">
        <v>15</v>
      </c>
    </row>
    <row r="620" spans="1:14" x14ac:dyDescent="0.25">
      <c r="A620">
        <v>25347</v>
      </c>
      <c r="B620" s="3"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s="3" t="s">
        <v>37</v>
      </c>
      <c r="C621" t="s">
        <v>38</v>
      </c>
      <c r="D621" s="4">
        <v>40000</v>
      </c>
      <c r="E621">
        <v>0</v>
      </c>
      <c r="F621" t="s">
        <v>27</v>
      </c>
      <c r="G621" t="s">
        <v>14</v>
      </c>
      <c r="H621" t="s">
        <v>15</v>
      </c>
      <c r="I621">
        <v>1</v>
      </c>
      <c r="J621" t="s">
        <v>23</v>
      </c>
      <c r="K621" t="s">
        <v>32</v>
      </c>
      <c r="L621">
        <v>30</v>
      </c>
      <c r="M621" t="str">
        <f t="shared" si="9"/>
        <v>Middle Age</v>
      </c>
      <c r="N621" t="s">
        <v>18</v>
      </c>
    </row>
    <row r="622" spans="1:14" x14ac:dyDescent="0.25">
      <c r="A622">
        <v>11259</v>
      </c>
      <c r="B622" s="3"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s="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s="3" t="s">
        <v>36</v>
      </c>
      <c r="C624" t="s">
        <v>39</v>
      </c>
      <c r="D624" s="4">
        <v>60000</v>
      </c>
      <c r="E624">
        <v>5</v>
      </c>
      <c r="F624" t="s">
        <v>13</v>
      </c>
      <c r="G624" t="s">
        <v>21</v>
      </c>
      <c r="H624" t="s">
        <v>15</v>
      </c>
      <c r="I624">
        <v>1</v>
      </c>
      <c r="J624" t="s">
        <v>22</v>
      </c>
      <c r="K624" t="s">
        <v>32</v>
      </c>
      <c r="L624">
        <v>47</v>
      </c>
      <c r="M624" t="str">
        <f t="shared" si="9"/>
        <v>Invalide</v>
      </c>
      <c r="N624" t="s">
        <v>18</v>
      </c>
    </row>
    <row r="625" spans="1:14" x14ac:dyDescent="0.25">
      <c r="A625">
        <v>21801</v>
      </c>
      <c r="B625" s="3" t="s">
        <v>36</v>
      </c>
      <c r="C625" t="s">
        <v>38</v>
      </c>
      <c r="D625" s="4">
        <v>70000</v>
      </c>
      <c r="E625">
        <v>4</v>
      </c>
      <c r="F625" t="s">
        <v>19</v>
      </c>
      <c r="G625" t="s">
        <v>21</v>
      </c>
      <c r="H625" t="s">
        <v>15</v>
      </c>
      <c r="I625">
        <v>1</v>
      </c>
      <c r="J625" t="s">
        <v>26</v>
      </c>
      <c r="K625" t="s">
        <v>32</v>
      </c>
      <c r="L625">
        <v>55</v>
      </c>
      <c r="M625" t="str">
        <f t="shared" si="9"/>
        <v>Old</v>
      </c>
      <c r="N625" t="s">
        <v>18</v>
      </c>
    </row>
    <row r="626" spans="1:14" x14ac:dyDescent="0.25">
      <c r="A626">
        <v>25943</v>
      </c>
      <c r="B626" s="3"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s="3"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s="3" t="s">
        <v>36</v>
      </c>
      <c r="C628" t="s">
        <v>38</v>
      </c>
      <c r="D628" s="4">
        <v>60000</v>
      </c>
      <c r="E628">
        <v>0</v>
      </c>
      <c r="F628" t="s">
        <v>19</v>
      </c>
      <c r="G628" t="s">
        <v>14</v>
      </c>
      <c r="H628" t="s">
        <v>15</v>
      </c>
      <c r="I628">
        <v>2</v>
      </c>
      <c r="J628" t="s">
        <v>23</v>
      </c>
      <c r="K628" t="s">
        <v>32</v>
      </c>
      <c r="L628">
        <v>29</v>
      </c>
      <c r="M628" t="str">
        <f t="shared" si="9"/>
        <v>Middle Age</v>
      </c>
      <c r="N628" t="s">
        <v>18</v>
      </c>
    </row>
    <row r="629" spans="1:14" x14ac:dyDescent="0.25">
      <c r="A629">
        <v>23672</v>
      </c>
      <c r="B629" s="3"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s="3" t="s">
        <v>37</v>
      </c>
      <c r="C630" t="s">
        <v>39</v>
      </c>
      <c r="D630" s="4">
        <v>80000</v>
      </c>
      <c r="E630">
        <v>3</v>
      </c>
      <c r="F630" t="s">
        <v>19</v>
      </c>
      <c r="G630" t="s">
        <v>21</v>
      </c>
      <c r="H630" t="s">
        <v>18</v>
      </c>
      <c r="I630">
        <v>1</v>
      </c>
      <c r="J630" t="s">
        <v>26</v>
      </c>
      <c r="K630" t="s">
        <v>32</v>
      </c>
      <c r="L630">
        <v>51</v>
      </c>
      <c r="M630" t="str">
        <f t="shared" si="9"/>
        <v>Invalide</v>
      </c>
      <c r="N630" t="s">
        <v>15</v>
      </c>
    </row>
    <row r="631" spans="1:14" x14ac:dyDescent="0.25">
      <c r="A631">
        <v>28815</v>
      </c>
      <c r="B631" s="3"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s="3" t="s">
        <v>36</v>
      </c>
      <c r="C632" t="s">
        <v>39</v>
      </c>
      <c r="D632" s="4">
        <v>40000</v>
      </c>
      <c r="E632">
        <v>0</v>
      </c>
      <c r="F632" t="s">
        <v>27</v>
      </c>
      <c r="G632" t="s">
        <v>14</v>
      </c>
      <c r="H632" t="s">
        <v>18</v>
      </c>
      <c r="I632">
        <v>2</v>
      </c>
      <c r="J632" t="s">
        <v>26</v>
      </c>
      <c r="K632" t="s">
        <v>32</v>
      </c>
      <c r="L632">
        <v>30</v>
      </c>
      <c r="M632" t="str">
        <f t="shared" si="9"/>
        <v>Middle Age</v>
      </c>
      <c r="N632" t="s">
        <v>18</v>
      </c>
    </row>
    <row r="633" spans="1:14" x14ac:dyDescent="0.25">
      <c r="A633">
        <v>27643</v>
      </c>
      <c r="B633" s="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s="3"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s="3"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s="3"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s="3" t="s">
        <v>37</v>
      </c>
      <c r="C637" t="s">
        <v>38</v>
      </c>
      <c r="D637" s="4">
        <v>30000</v>
      </c>
      <c r="E637">
        <v>2</v>
      </c>
      <c r="F637" t="s">
        <v>27</v>
      </c>
      <c r="G637" t="s">
        <v>14</v>
      </c>
      <c r="H637" t="s">
        <v>18</v>
      </c>
      <c r="I637">
        <v>2</v>
      </c>
      <c r="J637" t="s">
        <v>16</v>
      </c>
      <c r="K637" t="s">
        <v>32</v>
      </c>
      <c r="L637">
        <v>49</v>
      </c>
      <c r="M637" t="str">
        <f t="shared" si="9"/>
        <v>Invalide</v>
      </c>
      <c r="N637" t="s">
        <v>18</v>
      </c>
    </row>
    <row r="638" spans="1:14" x14ac:dyDescent="0.25">
      <c r="A638">
        <v>29237</v>
      </c>
      <c r="B638" s="3"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s="3" t="s">
        <v>37</v>
      </c>
      <c r="C639" t="s">
        <v>39</v>
      </c>
      <c r="D639" s="4">
        <v>40000</v>
      </c>
      <c r="E639">
        <v>0</v>
      </c>
      <c r="F639" t="s">
        <v>27</v>
      </c>
      <c r="G639" t="s">
        <v>14</v>
      </c>
      <c r="H639" t="s">
        <v>18</v>
      </c>
      <c r="I639">
        <v>2</v>
      </c>
      <c r="J639" t="s">
        <v>26</v>
      </c>
      <c r="K639" t="s">
        <v>32</v>
      </c>
      <c r="L639">
        <v>30</v>
      </c>
      <c r="M639" t="str">
        <f t="shared" si="9"/>
        <v>Middle Age</v>
      </c>
      <c r="N639" t="s">
        <v>18</v>
      </c>
    </row>
    <row r="640" spans="1:14" x14ac:dyDescent="0.25">
      <c r="A640">
        <v>18949</v>
      </c>
      <c r="B640" s="3"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s="3"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s="3"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s="3" t="s">
        <v>36</v>
      </c>
      <c r="C643" t="s">
        <v>39</v>
      </c>
      <c r="D643" s="4">
        <v>50000</v>
      </c>
      <c r="E643">
        <v>4</v>
      </c>
      <c r="F643" t="s">
        <v>13</v>
      </c>
      <c r="G643" t="s">
        <v>28</v>
      </c>
      <c r="H643" t="s">
        <v>15</v>
      </c>
      <c r="I643">
        <v>2</v>
      </c>
      <c r="J643" t="s">
        <v>46</v>
      </c>
      <c r="K643" t="s">
        <v>32</v>
      </c>
      <c r="L643">
        <v>64</v>
      </c>
      <c r="M643" t="str">
        <f t="shared" ref="M643:M706" si="10">IF(L643&gt;51,"Old",IF(L645&gt;=31,"Middle Age",IF(L643&lt;31,"Adolescent","Invalide")))</f>
        <v>Old</v>
      </c>
      <c r="N643" t="s">
        <v>18</v>
      </c>
    </row>
    <row r="644" spans="1:14" x14ac:dyDescent="0.25">
      <c r="A644">
        <v>21741</v>
      </c>
      <c r="B644" s="3"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s="3"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s="3"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25">
      <c r="A647">
        <v>16217</v>
      </c>
      <c r="B647" s="3"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s="3"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s="3"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s="3"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s="3"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s="3" t="s">
        <v>37</v>
      </c>
      <c r="C652" t="s">
        <v>38</v>
      </c>
      <c r="D652" s="4">
        <v>70000</v>
      </c>
      <c r="E652">
        <v>5</v>
      </c>
      <c r="F652" t="s">
        <v>31</v>
      </c>
      <c r="G652" t="s">
        <v>28</v>
      </c>
      <c r="H652" t="s">
        <v>15</v>
      </c>
      <c r="I652">
        <v>2</v>
      </c>
      <c r="J652" t="s">
        <v>46</v>
      </c>
      <c r="K652" t="s">
        <v>32</v>
      </c>
      <c r="L652">
        <v>67</v>
      </c>
      <c r="M652" t="str">
        <f t="shared" si="10"/>
        <v>Old</v>
      </c>
      <c r="N652" t="s">
        <v>15</v>
      </c>
    </row>
    <row r="653" spans="1:14" x14ac:dyDescent="0.25">
      <c r="A653">
        <v>14284</v>
      </c>
      <c r="B653" s="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s="3"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s="3"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s="3"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s="3"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s="3"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s="3"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s="3"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s="3" t="s">
        <v>37</v>
      </c>
      <c r="C661" t="s">
        <v>38</v>
      </c>
      <c r="D661" s="4">
        <v>60000</v>
      </c>
      <c r="E661">
        <v>4</v>
      </c>
      <c r="F661" t="s">
        <v>13</v>
      </c>
      <c r="G661" t="s">
        <v>28</v>
      </c>
      <c r="H661" t="s">
        <v>15</v>
      </c>
      <c r="I661">
        <v>2</v>
      </c>
      <c r="J661" t="s">
        <v>46</v>
      </c>
      <c r="K661" t="s">
        <v>32</v>
      </c>
      <c r="L661">
        <v>63</v>
      </c>
      <c r="M661" t="str">
        <f t="shared" si="10"/>
        <v>Old</v>
      </c>
      <c r="N661" t="s">
        <v>18</v>
      </c>
    </row>
    <row r="662" spans="1:14" x14ac:dyDescent="0.25">
      <c r="A662">
        <v>21599</v>
      </c>
      <c r="B662" s="3"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s="3" t="s">
        <v>37</v>
      </c>
      <c r="C663" t="s">
        <v>39</v>
      </c>
      <c r="D663" s="4">
        <v>40000</v>
      </c>
      <c r="E663">
        <v>0</v>
      </c>
      <c r="F663" t="s">
        <v>27</v>
      </c>
      <c r="G663" t="s">
        <v>14</v>
      </c>
      <c r="H663" t="s">
        <v>18</v>
      </c>
      <c r="I663">
        <v>2</v>
      </c>
      <c r="J663" t="s">
        <v>16</v>
      </c>
      <c r="K663" t="s">
        <v>32</v>
      </c>
      <c r="L663">
        <v>28</v>
      </c>
      <c r="M663" t="str">
        <f t="shared" si="10"/>
        <v>Middle Age</v>
      </c>
      <c r="N663" t="s">
        <v>15</v>
      </c>
    </row>
    <row r="664" spans="1:14" x14ac:dyDescent="0.25">
      <c r="A664">
        <v>27637</v>
      </c>
      <c r="B664" s="3"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s="3"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s="3"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s="3"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s="3"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s="3" t="s">
        <v>36</v>
      </c>
      <c r="C669" t="s">
        <v>38</v>
      </c>
      <c r="D669" s="4">
        <v>40000</v>
      </c>
      <c r="E669">
        <v>5</v>
      </c>
      <c r="F669" t="s">
        <v>27</v>
      </c>
      <c r="G669" t="s">
        <v>21</v>
      </c>
      <c r="H669" t="s">
        <v>18</v>
      </c>
      <c r="I669">
        <v>2</v>
      </c>
      <c r="J669" t="s">
        <v>46</v>
      </c>
      <c r="K669" t="s">
        <v>32</v>
      </c>
      <c r="L669">
        <v>61</v>
      </c>
      <c r="M669" t="str">
        <f t="shared" si="10"/>
        <v>Old</v>
      </c>
      <c r="N669" t="s">
        <v>18</v>
      </c>
    </row>
    <row r="670" spans="1:14" x14ac:dyDescent="0.25">
      <c r="A670">
        <v>14592</v>
      </c>
      <c r="B670" s="3"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s="3"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s="3" t="s">
        <v>36</v>
      </c>
      <c r="C672" t="s">
        <v>39</v>
      </c>
      <c r="D672" s="4">
        <v>70000</v>
      </c>
      <c r="E672">
        <v>2</v>
      </c>
      <c r="F672" t="s">
        <v>19</v>
      </c>
      <c r="G672" t="s">
        <v>21</v>
      </c>
      <c r="H672" t="s">
        <v>15</v>
      </c>
      <c r="I672">
        <v>1</v>
      </c>
      <c r="J672" t="s">
        <v>46</v>
      </c>
      <c r="K672" t="s">
        <v>32</v>
      </c>
      <c r="L672">
        <v>59</v>
      </c>
      <c r="M672" t="str">
        <f t="shared" si="10"/>
        <v>Old</v>
      </c>
      <c r="N672" t="s">
        <v>18</v>
      </c>
    </row>
    <row r="673" spans="1:14" x14ac:dyDescent="0.25">
      <c r="A673">
        <v>22252</v>
      </c>
      <c r="B673" s="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s="3" t="s">
        <v>37</v>
      </c>
      <c r="C674" t="s">
        <v>38</v>
      </c>
      <c r="D674" s="4">
        <v>40000</v>
      </c>
      <c r="E674">
        <v>0</v>
      </c>
      <c r="F674" t="s">
        <v>27</v>
      </c>
      <c r="G674" t="s">
        <v>14</v>
      </c>
      <c r="H674" t="s">
        <v>15</v>
      </c>
      <c r="I674">
        <v>2</v>
      </c>
      <c r="J674" t="s">
        <v>23</v>
      </c>
      <c r="K674" t="s">
        <v>32</v>
      </c>
      <c r="L674">
        <v>30</v>
      </c>
      <c r="M674" t="str">
        <f t="shared" si="10"/>
        <v>Middle Age</v>
      </c>
      <c r="N674" t="s">
        <v>18</v>
      </c>
    </row>
    <row r="675" spans="1:14" x14ac:dyDescent="0.25">
      <c r="A675">
        <v>11817</v>
      </c>
      <c r="B675" s="3"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s="3"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s="3"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s="3"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s="3"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s="3"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s="3" t="s">
        <v>36</v>
      </c>
      <c r="C681" t="s">
        <v>39</v>
      </c>
      <c r="D681" s="4">
        <v>60000</v>
      </c>
      <c r="E681">
        <v>4</v>
      </c>
      <c r="F681" t="s">
        <v>13</v>
      </c>
      <c r="G681" t="s">
        <v>28</v>
      </c>
      <c r="H681" t="s">
        <v>15</v>
      </c>
      <c r="I681">
        <v>2</v>
      </c>
      <c r="J681" t="s">
        <v>46</v>
      </c>
      <c r="K681" t="s">
        <v>32</v>
      </c>
      <c r="L681">
        <v>60</v>
      </c>
      <c r="M681" t="str">
        <f t="shared" si="10"/>
        <v>Old</v>
      </c>
      <c r="N681" t="s">
        <v>18</v>
      </c>
    </row>
    <row r="682" spans="1:14" x14ac:dyDescent="0.25">
      <c r="A682">
        <v>11165</v>
      </c>
      <c r="B682" s="3"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s="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s="3" t="s">
        <v>36</v>
      </c>
      <c r="C684" t="s">
        <v>39</v>
      </c>
      <c r="D684" s="4">
        <v>20000</v>
      </c>
      <c r="E684">
        <v>3</v>
      </c>
      <c r="F684" t="s">
        <v>29</v>
      </c>
      <c r="G684" t="s">
        <v>20</v>
      </c>
      <c r="H684" t="s">
        <v>18</v>
      </c>
      <c r="I684">
        <v>2</v>
      </c>
      <c r="J684" t="s">
        <v>16</v>
      </c>
      <c r="K684" t="s">
        <v>32</v>
      </c>
      <c r="L684">
        <v>52</v>
      </c>
      <c r="M684" t="str">
        <f t="shared" si="10"/>
        <v>Old</v>
      </c>
      <c r="N684" t="s">
        <v>18</v>
      </c>
    </row>
    <row r="685" spans="1:14" x14ac:dyDescent="0.25">
      <c r="A685">
        <v>23461</v>
      </c>
      <c r="B685" s="3"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s="3"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s="3" t="s">
        <v>37</v>
      </c>
      <c r="C687" t="s">
        <v>38</v>
      </c>
      <c r="D687" s="4">
        <v>60000</v>
      </c>
      <c r="E687">
        <v>3</v>
      </c>
      <c r="F687" t="s">
        <v>31</v>
      </c>
      <c r="G687" t="s">
        <v>28</v>
      </c>
      <c r="H687" t="s">
        <v>15</v>
      </c>
      <c r="I687">
        <v>2</v>
      </c>
      <c r="J687" t="s">
        <v>23</v>
      </c>
      <c r="K687" t="s">
        <v>32</v>
      </c>
      <c r="L687">
        <v>53</v>
      </c>
      <c r="M687" t="str">
        <f t="shared" si="10"/>
        <v>Old</v>
      </c>
      <c r="N687" t="s">
        <v>15</v>
      </c>
    </row>
    <row r="688" spans="1:14" x14ac:dyDescent="0.25">
      <c r="A688">
        <v>12774</v>
      </c>
      <c r="B688" s="3" t="s">
        <v>36</v>
      </c>
      <c r="C688" t="s">
        <v>38</v>
      </c>
      <c r="D688" s="4">
        <v>40000</v>
      </c>
      <c r="E688">
        <v>1</v>
      </c>
      <c r="F688" t="s">
        <v>19</v>
      </c>
      <c r="G688" t="s">
        <v>20</v>
      </c>
      <c r="H688" t="s">
        <v>15</v>
      </c>
      <c r="I688">
        <v>1</v>
      </c>
      <c r="J688" t="s">
        <v>26</v>
      </c>
      <c r="K688" t="s">
        <v>32</v>
      </c>
      <c r="L688">
        <v>51</v>
      </c>
      <c r="M688" t="str">
        <f t="shared" si="10"/>
        <v>Invalide</v>
      </c>
      <c r="N688" t="s">
        <v>15</v>
      </c>
    </row>
    <row r="689" spans="1:14" x14ac:dyDescent="0.25">
      <c r="A689">
        <v>18910</v>
      </c>
      <c r="B689" s="3"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s="3" t="s">
        <v>37</v>
      </c>
      <c r="C690" t="s">
        <v>39</v>
      </c>
      <c r="D690" s="4">
        <v>60000</v>
      </c>
      <c r="E690">
        <v>0</v>
      </c>
      <c r="F690" t="s">
        <v>13</v>
      </c>
      <c r="G690" t="s">
        <v>14</v>
      </c>
      <c r="H690" t="s">
        <v>18</v>
      </c>
      <c r="I690">
        <v>2</v>
      </c>
      <c r="J690" t="s">
        <v>16</v>
      </c>
      <c r="K690" t="s">
        <v>32</v>
      </c>
      <c r="L690">
        <v>30</v>
      </c>
      <c r="M690" t="str">
        <f t="shared" si="10"/>
        <v>Middle Age</v>
      </c>
      <c r="N690" t="s">
        <v>18</v>
      </c>
    </row>
    <row r="691" spans="1:14" x14ac:dyDescent="0.25">
      <c r="A691">
        <v>16725</v>
      </c>
      <c r="B691" s="3" t="s">
        <v>36</v>
      </c>
      <c r="C691" t="s">
        <v>39</v>
      </c>
      <c r="D691" s="4">
        <v>30000</v>
      </c>
      <c r="E691">
        <v>0</v>
      </c>
      <c r="F691" t="s">
        <v>27</v>
      </c>
      <c r="G691" t="s">
        <v>14</v>
      </c>
      <c r="H691" t="s">
        <v>15</v>
      </c>
      <c r="I691">
        <v>2</v>
      </c>
      <c r="J691" t="s">
        <v>23</v>
      </c>
      <c r="K691" t="s">
        <v>32</v>
      </c>
      <c r="L691">
        <v>26</v>
      </c>
      <c r="M691" t="str">
        <f t="shared" si="10"/>
        <v>Middle Age</v>
      </c>
      <c r="N691" t="s">
        <v>18</v>
      </c>
    </row>
    <row r="692" spans="1:14" x14ac:dyDescent="0.25">
      <c r="A692">
        <v>28269</v>
      </c>
      <c r="B692" s="3"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s="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s="3"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s="3"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s="3" t="s">
        <v>37</v>
      </c>
      <c r="C696" t="s">
        <v>38</v>
      </c>
      <c r="D696" s="4">
        <v>80000</v>
      </c>
      <c r="E696">
        <v>3</v>
      </c>
      <c r="F696" t="s">
        <v>31</v>
      </c>
      <c r="G696" t="s">
        <v>21</v>
      </c>
      <c r="H696" t="s">
        <v>18</v>
      </c>
      <c r="I696">
        <v>0</v>
      </c>
      <c r="J696" t="s">
        <v>16</v>
      </c>
      <c r="K696" t="s">
        <v>32</v>
      </c>
      <c r="L696">
        <v>36</v>
      </c>
      <c r="M696" t="str">
        <f t="shared" si="10"/>
        <v>Invalide</v>
      </c>
      <c r="N696" t="s">
        <v>15</v>
      </c>
    </row>
    <row r="697" spans="1:14" x14ac:dyDescent="0.25">
      <c r="A697">
        <v>18390</v>
      </c>
      <c r="B697" s="3" t="s">
        <v>36</v>
      </c>
      <c r="C697" t="s">
        <v>39</v>
      </c>
      <c r="D697" s="4">
        <v>80000</v>
      </c>
      <c r="E697">
        <v>5</v>
      </c>
      <c r="F697" t="s">
        <v>19</v>
      </c>
      <c r="G697" t="s">
        <v>21</v>
      </c>
      <c r="H697" t="s">
        <v>15</v>
      </c>
      <c r="I697">
        <v>2</v>
      </c>
      <c r="J697" t="s">
        <v>16</v>
      </c>
      <c r="K697" t="s">
        <v>32</v>
      </c>
      <c r="L697">
        <v>44</v>
      </c>
      <c r="M697" t="str">
        <f t="shared" si="10"/>
        <v>Invalide</v>
      </c>
      <c r="N697" t="s">
        <v>18</v>
      </c>
    </row>
    <row r="698" spans="1:14" x14ac:dyDescent="0.25">
      <c r="A698">
        <v>29112</v>
      </c>
      <c r="B698" s="3" t="s">
        <v>37</v>
      </c>
      <c r="C698" t="s">
        <v>39</v>
      </c>
      <c r="D698" s="4">
        <v>60000</v>
      </c>
      <c r="E698">
        <v>0</v>
      </c>
      <c r="F698" t="s">
        <v>19</v>
      </c>
      <c r="G698" t="s">
        <v>21</v>
      </c>
      <c r="H698" t="s">
        <v>18</v>
      </c>
      <c r="I698">
        <v>2</v>
      </c>
      <c r="J698" t="s">
        <v>26</v>
      </c>
      <c r="K698" t="s">
        <v>32</v>
      </c>
      <c r="L698">
        <v>30</v>
      </c>
      <c r="M698" t="str">
        <f t="shared" si="10"/>
        <v>Middle Age</v>
      </c>
      <c r="N698" t="s">
        <v>18</v>
      </c>
    </row>
    <row r="699" spans="1:14" x14ac:dyDescent="0.25">
      <c r="A699">
        <v>14090</v>
      </c>
      <c r="B699" s="3" t="s">
        <v>36</v>
      </c>
      <c r="C699" t="s">
        <v>38</v>
      </c>
      <c r="D699" s="4">
        <v>30000</v>
      </c>
      <c r="E699">
        <v>0</v>
      </c>
      <c r="F699" t="s">
        <v>29</v>
      </c>
      <c r="G699" t="s">
        <v>20</v>
      </c>
      <c r="H699" t="s">
        <v>18</v>
      </c>
      <c r="I699">
        <v>2</v>
      </c>
      <c r="J699" t="s">
        <v>16</v>
      </c>
      <c r="K699" t="s">
        <v>32</v>
      </c>
      <c r="L699">
        <v>28</v>
      </c>
      <c r="M699" t="str">
        <f t="shared" si="10"/>
        <v>Middle Age</v>
      </c>
      <c r="N699" t="s">
        <v>18</v>
      </c>
    </row>
    <row r="700" spans="1:14" x14ac:dyDescent="0.25">
      <c r="A700">
        <v>27040</v>
      </c>
      <c r="B700" s="3"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s="3" t="s">
        <v>37</v>
      </c>
      <c r="C701" t="s">
        <v>39</v>
      </c>
      <c r="D701" s="4">
        <v>90000</v>
      </c>
      <c r="E701">
        <v>0</v>
      </c>
      <c r="F701" t="s">
        <v>19</v>
      </c>
      <c r="G701" t="s">
        <v>21</v>
      </c>
      <c r="H701" t="s">
        <v>18</v>
      </c>
      <c r="I701">
        <v>2</v>
      </c>
      <c r="J701" t="s">
        <v>16</v>
      </c>
      <c r="K701" t="s">
        <v>32</v>
      </c>
      <c r="L701">
        <v>43</v>
      </c>
      <c r="M701" t="str">
        <f t="shared" si="10"/>
        <v>Invalide</v>
      </c>
      <c r="N701" t="s">
        <v>15</v>
      </c>
    </row>
    <row r="702" spans="1:14" x14ac:dyDescent="0.25">
      <c r="A702">
        <v>16795</v>
      </c>
      <c r="B702" s="3"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s="3" t="s">
        <v>37</v>
      </c>
      <c r="C703" t="s">
        <v>39</v>
      </c>
      <c r="D703" s="4">
        <v>30000</v>
      </c>
      <c r="E703">
        <v>0</v>
      </c>
      <c r="F703" t="s">
        <v>27</v>
      </c>
      <c r="G703" t="s">
        <v>14</v>
      </c>
      <c r="H703" t="s">
        <v>15</v>
      </c>
      <c r="I703">
        <v>2</v>
      </c>
      <c r="J703" t="s">
        <v>23</v>
      </c>
      <c r="K703" t="s">
        <v>32</v>
      </c>
      <c r="L703">
        <v>26</v>
      </c>
      <c r="M703" t="str">
        <f t="shared" si="10"/>
        <v>Middle Age</v>
      </c>
      <c r="N703" t="s">
        <v>18</v>
      </c>
    </row>
    <row r="704" spans="1:14" x14ac:dyDescent="0.25">
      <c r="A704">
        <v>13314</v>
      </c>
      <c r="B704" s="3"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s="3"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s="3"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s="3" t="s">
        <v>36</v>
      </c>
      <c r="C707" t="s">
        <v>38</v>
      </c>
      <c r="D707" s="4">
        <v>70000</v>
      </c>
      <c r="E707">
        <v>4</v>
      </c>
      <c r="F707" t="s">
        <v>13</v>
      </c>
      <c r="G707" t="s">
        <v>28</v>
      </c>
      <c r="H707" t="s">
        <v>15</v>
      </c>
      <c r="I707">
        <v>1</v>
      </c>
      <c r="J707" t="s">
        <v>46</v>
      </c>
      <c r="K707" t="s">
        <v>32</v>
      </c>
      <c r="L707">
        <v>59</v>
      </c>
      <c r="M707" t="str">
        <f t="shared" ref="M707:M770" si="11">IF(L707&gt;51,"Old",IF(L709&gt;=31,"Middle Age",IF(L707&lt;31,"Adolescent","Invalide")))</f>
        <v>Old</v>
      </c>
      <c r="N707" t="s">
        <v>18</v>
      </c>
    </row>
    <row r="708" spans="1:14" x14ac:dyDescent="0.25">
      <c r="A708">
        <v>20296</v>
      </c>
      <c r="B708" s="3"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s="3"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s="3" t="s">
        <v>36</v>
      </c>
      <c r="C710" t="s">
        <v>39</v>
      </c>
      <c r="D710" s="4">
        <v>70000</v>
      </c>
      <c r="E710">
        <v>5</v>
      </c>
      <c r="F710" t="s">
        <v>13</v>
      </c>
      <c r="G710" t="s">
        <v>28</v>
      </c>
      <c r="H710" t="s">
        <v>15</v>
      </c>
      <c r="I710">
        <v>4</v>
      </c>
      <c r="J710" t="s">
        <v>46</v>
      </c>
      <c r="K710" t="s">
        <v>32</v>
      </c>
      <c r="L710">
        <v>60</v>
      </c>
      <c r="M710" t="str">
        <f t="shared" si="11"/>
        <v>Old</v>
      </c>
      <c r="N710" t="s">
        <v>18</v>
      </c>
    </row>
    <row r="711" spans="1:14" x14ac:dyDescent="0.25">
      <c r="A711">
        <v>23712</v>
      </c>
      <c r="B711" s="3" t="s">
        <v>37</v>
      </c>
      <c r="C711" t="s">
        <v>38</v>
      </c>
      <c r="D711" s="4">
        <v>70000</v>
      </c>
      <c r="E711">
        <v>2</v>
      </c>
      <c r="F711" t="s">
        <v>13</v>
      </c>
      <c r="G711" t="s">
        <v>28</v>
      </c>
      <c r="H711" t="s">
        <v>15</v>
      </c>
      <c r="I711">
        <v>1</v>
      </c>
      <c r="J711" t="s">
        <v>46</v>
      </c>
      <c r="K711" t="s">
        <v>32</v>
      </c>
      <c r="L711">
        <v>59</v>
      </c>
      <c r="M711" t="str">
        <f t="shared" si="11"/>
        <v>Old</v>
      </c>
      <c r="N711" t="s">
        <v>18</v>
      </c>
    </row>
    <row r="712" spans="1:14" x14ac:dyDescent="0.25">
      <c r="A712">
        <v>23358</v>
      </c>
      <c r="B712" s="3"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s="3" t="s">
        <v>36</v>
      </c>
      <c r="C713" t="s">
        <v>38</v>
      </c>
      <c r="D713" s="4">
        <v>70000</v>
      </c>
      <c r="E713">
        <v>2</v>
      </c>
      <c r="F713" t="s">
        <v>19</v>
      </c>
      <c r="G713" t="s">
        <v>21</v>
      </c>
      <c r="H713" t="s">
        <v>15</v>
      </c>
      <c r="I713">
        <v>1</v>
      </c>
      <c r="J713" t="s">
        <v>46</v>
      </c>
      <c r="K713" t="s">
        <v>32</v>
      </c>
      <c r="L713">
        <v>58</v>
      </c>
      <c r="M713" t="str">
        <f t="shared" si="11"/>
        <v>Old</v>
      </c>
      <c r="N713" t="s">
        <v>18</v>
      </c>
    </row>
    <row r="714" spans="1:14" x14ac:dyDescent="0.25">
      <c r="A714">
        <v>28026</v>
      </c>
      <c r="B714" s="3"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s="3"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s="3" t="s">
        <v>36</v>
      </c>
      <c r="C716" t="s">
        <v>39</v>
      </c>
      <c r="D716" s="4">
        <v>40000</v>
      </c>
      <c r="E716">
        <v>0</v>
      </c>
      <c r="F716" t="s">
        <v>27</v>
      </c>
      <c r="G716" t="s">
        <v>14</v>
      </c>
      <c r="H716" t="s">
        <v>15</v>
      </c>
      <c r="I716">
        <v>2</v>
      </c>
      <c r="J716" t="s">
        <v>23</v>
      </c>
      <c r="K716" t="s">
        <v>32</v>
      </c>
      <c r="L716">
        <v>28</v>
      </c>
      <c r="M716" t="str">
        <f t="shared" si="11"/>
        <v>Middle Age</v>
      </c>
      <c r="N716" t="s">
        <v>15</v>
      </c>
    </row>
    <row r="717" spans="1:14" x14ac:dyDescent="0.25">
      <c r="A717">
        <v>27090</v>
      </c>
      <c r="B717" s="3"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s="3"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s="3"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s="3"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s="3"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s="3"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s="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s="3" t="s">
        <v>37</v>
      </c>
      <c r="C724" t="s">
        <v>38</v>
      </c>
      <c r="D724" s="4">
        <v>70000</v>
      </c>
      <c r="E724">
        <v>3</v>
      </c>
      <c r="F724" t="s">
        <v>31</v>
      </c>
      <c r="G724" t="s">
        <v>28</v>
      </c>
      <c r="H724" t="s">
        <v>18</v>
      </c>
      <c r="I724">
        <v>2</v>
      </c>
      <c r="J724" t="s">
        <v>26</v>
      </c>
      <c r="K724" t="s">
        <v>32</v>
      </c>
      <c r="L724">
        <v>53</v>
      </c>
      <c r="M724" t="str">
        <f t="shared" si="11"/>
        <v>Old</v>
      </c>
      <c r="N724" t="s">
        <v>18</v>
      </c>
    </row>
    <row r="725" spans="1:14" x14ac:dyDescent="0.25">
      <c r="A725">
        <v>26678</v>
      </c>
      <c r="B725" s="3"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s="3"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s="3"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s="3" t="s">
        <v>36</v>
      </c>
      <c r="C728" t="s">
        <v>39</v>
      </c>
      <c r="D728" s="4">
        <v>20000</v>
      </c>
      <c r="E728">
        <v>2</v>
      </c>
      <c r="F728" t="s">
        <v>27</v>
      </c>
      <c r="G728" t="s">
        <v>25</v>
      </c>
      <c r="H728" t="s">
        <v>18</v>
      </c>
      <c r="I728">
        <v>2</v>
      </c>
      <c r="J728" t="s">
        <v>16</v>
      </c>
      <c r="K728" t="s">
        <v>32</v>
      </c>
      <c r="L728">
        <v>53</v>
      </c>
      <c r="M728" t="str">
        <f t="shared" si="11"/>
        <v>Old</v>
      </c>
      <c r="N728" t="s">
        <v>18</v>
      </c>
    </row>
    <row r="729" spans="1:14" x14ac:dyDescent="0.25">
      <c r="A729">
        <v>16144</v>
      </c>
      <c r="B729" s="3"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s="3" t="s">
        <v>36</v>
      </c>
      <c r="C730" t="s">
        <v>39</v>
      </c>
      <c r="D730" s="4">
        <v>40000</v>
      </c>
      <c r="E730">
        <v>0</v>
      </c>
      <c r="F730" t="s">
        <v>27</v>
      </c>
      <c r="G730" t="s">
        <v>14</v>
      </c>
      <c r="H730" t="s">
        <v>15</v>
      </c>
      <c r="I730">
        <v>2</v>
      </c>
      <c r="J730" t="s">
        <v>23</v>
      </c>
      <c r="K730" t="s">
        <v>32</v>
      </c>
      <c r="L730">
        <v>27</v>
      </c>
      <c r="M730" t="str">
        <f t="shared" si="11"/>
        <v>Middle Age</v>
      </c>
      <c r="N730" t="s">
        <v>18</v>
      </c>
    </row>
    <row r="731" spans="1:14" x14ac:dyDescent="0.25">
      <c r="A731">
        <v>11886</v>
      </c>
      <c r="B731" s="3"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s="3"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s="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s="3"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s="3" t="s">
        <v>37</v>
      </c>
      <c r="C735" t="s">
        <v>39</v>
      </c>
      <c r="D735" s="4">
        <v>130000</v>
      </c>
      <c r="E735">
        <v>1</v>
      </c>
      <c r="F735" t="s">
        <v>13</v>
      </c>
      <c r="G735" t="s">
        <v>28</v>
      </c>
      <c r="H735" t="s">
        <v>18</v>
      </c>
      <c r="I735">
        <v>4</v>
      </c>
      <c r="J735" t="s">
        <v>16</v>
      </c>
      <c r="K735" t="s">
        <v>32</v>
      </c>
      <c r="L735">
        <v>44</v>
      </c>
      <c r="M735" t="str">
        <f t="shared" si="11"/>
        <v>Invalide</v>
      </c>
      <c r="N735" t="s">
        <v>18</v>
      </c>
    </row>
    <row r="736" spans="1:14" x14ac:dyDescent="0.25">
      <c r="A736">
        <v>16867</v>
      </c>
      <c r="B736" s="3"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s="3" t="s">
        <v>37</v>
      </c>
      <c r="C737" t="s">
        <v>38</v>
      </c>
      <c r="D737" s="4">
        <v>30000</v>
      </c>
      <c r="E737">
        <v>0</v>
      </c>
      <c r="F737" t="s">
        <v>19</v>
      </c>
      <c r="G737" t="s">
        <v>14</v>
      </c>
      <c r="H737" t="s">
        <v>15</v>
      </c>
      <c r="I737">
        <v>1</v>
      </c>
      <c r="J737" t="s">
        <v>23</v>
      </c>
      <c r="K737" t="s">
        <v>32</v>
      </c>
      <c r="L737">
        <v>26</v>
      </c>
      <c r="M737" t="str">
        <f t="shared" si="11"/>
        <v>Middle Age</v>
      </c>
      <c r="N737" t="s">
        <v>18</v>
      </c>
    </row>
    <row r="738" spans="1:14" x14ac:dyDescent="0.25">
      <c r="A738">
        <v>19634</v>
      </c>
      <c r="B738" s="3"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s="3"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s="3" t="s">
        <v>37</v>
      </c>
      <c r="C740" t="s">
        <v>38</v>
      </c>
      <c r="D740" s="4">
        <v>40000</v>
      </c>
      <c r="E740">
        <v>2</v>
      </c>
      <c r="F740" t="s">
        <v>19</v>
      </c>
      <c r="G740" t="s">
        <v>20</v>
      </c>
      <c r="H740" t="s">
        <v>18</v>
      </c>
      <c r="I740">
        <v>1</v>
      </c>
      <c r="J740" t="s">
        <v>26</v>
      </c>
      <c r="K740" t="s">
        <v>32</v>
      </c>
      <c r="L740">
        <v>47</v>
      </c>
      <c r="M740" t="str">
        <f t="shared" si="11"/>
        <v>Invalide</v>
      </c>
      <c r="N740" t="s">
        <v>15</v>
      </c>
    </row>
    <row r="741" spans="1:14" x14ac:dyDescent="0.25">
      <c r="A741">
        <v>11225</v>
      </c>
      <c r="B741" s="3" t="s">
        <v>36</v>
      </c>
      <c r="C741" t="s">
        <v>38</v>
      </c>
      <c r="D741" s="4">
        <v>60000</v>
      </c>
      <c r="E741">
        <v>2</v>
      </c>
      <c r="F741" t="s">
        <v>19</v>
      </c>
      <c r="G741" t="s">
        <v>21</v>
      </c>
      <c r="H741" t="s">
        <v>15</v>
      </c>
      <c r="I741">
        <v>1</v>
      </c>
      <c r="J741" t="s">
        <v>46</v>
      </c>
      <c r="K741" t="s">
        <v>32</v>
      </c>
      <c r="L741">
        <v>55</v>
      </c>
      <c r="M741" t="str">
        <f t="shared" si="11"/>
        <v>Old</v>
      </c>
      <c r="N741" t="s">
        <v>18</v>
      </c>
    </row>
    <row r="742" spans="1:14" x14ac:dyDescent="0.25">
      <c r="A742">
        <v>17657</v>
      </c>
      <c r="B742" s="3"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s="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s="3" t="s">
        <v>37</v>
      </c>
      <c r="C744" t="s">
        <v>39</v>
      </c>
      <c r="D744" s="4">
        <v>30000</v>
      </c>
      <c r="E744">
        <v>0</v>
      </c>
      <c r="F744" t="s">
        <v>27</v>
      </c>
      <c r="G744" t="s">
        <v>14</v>
      </c>
      <c r="H744" t="s">
        <v>15</v>
      </c>
      <c r="I744">
        <v>2</v>
      </c>
      <c r="J744" t="s">
        <v>23</v>
      </c>
      <c r="K744" t="s">
        <v>32</v>
      </c>
      <c r="L744">
        <v>30</v>
      </c>
      <c r="M744" t="str">
        <f t="shared" si="11"/>
        <v>Middle Age</v>
      </c>
      <c r="N744" t="s">
        <v>18</v>
      </c>
    </row>
    <row r="745" spans="1:14" x14ac:dyDescent="0.25">
      <c r="A745">
        <v>13296</v>
      </c>
      <c r="B745" s="3"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s="3" t="s">
        <v>36</v>
      </c>
      <c r="C746" t="s">
        <v>38</v>
      </c>
      <c r="D746" s="4">
        <v>70000</v>
      </c>
      <c r="E746">
        <v>4</v>
      </c>
      <c r="F746" t="s">
        <v>19</v>
      </c>
      <c r="G746" t="s">
        <v>21</v>
      </c>
      <c r="H746" t="s">
        <v>15</v>
      </c>
      <c r="I746">
        <v>1</v>
      </c>
      <c r="J746" t="s">
        <v>46</v>
      </c>
      <c r="K746" t="s">
        <v>32</v>
      </c>
      <c r="L746">
        <v>56</v>
      </c>
      <c r="M746" t="str">
        <f t="shared" si="11"/>
        <v>Old</v>
      </c>
      <c r="N746" t="s">
        <v>18</v>
      </c>
    </row>
    <row r="747" spans="1:14" x14ac:dyDescent="0.25">
      <c r="A747">
        <v>12452</v>
      </c>
      <c r="B747" s="3"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s="3" t="s">
        <v>36</v>
      </c>
      <c r="C748" t="s">
        <v>38</v>
      </c>
      <c r="D748" s="4">
        <v>60000</v>
      </c>
      <c r="E748">
        <v>2</v>
      </c>
      <c r="F748" t="s">
        <v>13</v>
      </c>
      <c r="G748" t="s">
        <v>28</v>
      </c>
      <c r="H748" t="s">
        <v>15</v>
      </c>
      <c r="I748">
        <v>0</v>
      </c>
      <c r="J748" t="s">
        <v>46</v>
      </c>
      <c r="K748" t="s">
        <v>32</v>
      </c>
      <c r="L748">
        <v>56</v>
      </c>
      <c r="M748" t="str">
        <f t="shared" si="11"/>
        <v>Old</v>
      </c>
      <c r="N748" t="s">
        <v>18</v>
      </c>
    </row>
    <row r="749" spans="1:14" x14ac:dyDescent="0.25">
      <c r="A749">
        <v>12957</v>
      </c>
      <c r="B749" s="3"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s="3"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s="3"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s="3"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s="3" t="s">
        <v>36</v>
      </c>
      <c r="C753" t="s">
        <v>39</v>
      </c>
      <c r="D753" s="4">
        <v>60000</v>
      </c>
      <c r="E753">
        <v>1</v>
      </c>
      <c r="F753" t="s">
        <v>31</v>
      </c>
      <c r="G753" t="s">
        <v>21</v>
      </c>
      <c r="H753" t="s">
        <v>15</v>
      </c>
      <c r="I753">
        <v>0</v>
      </c>
      <c r="J753" t="s">
        <v>22</v>
      </c>
      <c r="K753" t="s">
        <v>32</v>
      </c>
      <c r="L753">
        <v>36</v>
      </c>
      <c r="M753" t="str">
        <f t="shared" si="11"/>
        <v>Invalide</v>
      </c>
      <c r="N753" t="s">
        <v>18</v>
      </c>
    </row>
    <row r="754" spans="1:14" x14ac:dyDescent="0.25">
      <c r="A754">
        <v>22211</v>
      </c>
      <c r="B754" s="3"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s="3" t="s">
        <v>37</v>
      </c>
      <c r="C755" t="s">
        <v>38</v>
      </c>
      <c r="D755" s="4">
        <v>40000</v>
      </c>
      <c r="E755">
        <v>0</v>
      </c>
      <c r="F755" t="s">
        <v>19</v>
      </c>
      <c r="G755" t="s">
        <v>14</v>
      </c>
      <c r="H755" t="s">
        <v>18</v>
      </c>
      <c r="I755">
        <v>1</v>
      </c>
      <c r="J755" t="s">
        <v>26</v>
      </c>
      <c r="K755" t="s">
        <v>32</v>
      </c>
      <c r="L755">
        <v>27</v>
      </c>
      <c r="M755" t="str">
        <f t="shared" si="11"/>
        <v>Middle Age</v>
      </c>
      <c r="N755" t="s">
        <v>18</v>
      </c>
    </row>
    <row r="756" spans="1:14" x14ac:dyDescent="0.25">
      <c r="A756">
        <v>23668</v>
      </c>
      <c r="B756" s="3"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s="3" t="s">
        <v>36</v>
      </c>
      <c r="C757" t="s">
        <v>39</v>
      </c>
      <c r="D757" s="4">
        <v>60000</v>
      </c>
      <c r="E757">
        <v>3</v>
      </c>
      <c r="F757" t="s">
        <v>27</v>
      </c>
      <c r="G757" t="s">
        <v>21</v>
      </c>
      <c r="H757" t="s">
        <v>18</v>
      </c>
      <c r="I757">
        <v>2</v>
      </c>
      <c r="J757" t="s">
        <v>22</v>
      </c>
      <c r="K757" t="s">
        <v>32</v>
      </c>
      <c r="L757">
        <v>53</v>
      </c>
      <c r="M757" t="str">
        <f t="shared" si="11"/>
        <v>Old</v>
      </c>
      <c r="N757" t="s">
        <v>18</v>
      </c>
    </row>
    <row r="758" spans="1:14" x14ac:dyDescent="0.25">
      <c r="A758">
        <v>27261</v>
      </c>
      <c r="B758" s="3"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s="3"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s="3"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s="3"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s="3"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s="3" t="s">
        <v>36</v>
      </c>
      <c r="C763" t="s">
        <v>38</v>
      </c>
      <c r="D763" s="4">
        <v>60000</v>
      </c>
      <c r="E763">
        <v>5</v>
      </c>
      <c r="F763" t="s">
        <v>13</v>
      </c>
      <c r="G763" t="s">
        <v>28</v>
      </c>
      <c r="H763" t="s">
        <v>15</v>
      </c>
      <c r="I763">
        <v>3</v>
      </c>
      <c r="J763" t="s">
        <v>46</v>
      </c>
      <c r="K763" t="s">
        <v>32</v>
      </c>
      <c r="L763">
        <v>59</v>
      </c>
      <c r="M763" t="str">
        <f t="shared" si="11"/>
        <v>Old</v>
      </c>
      <c r="N763" t="s">
        <v>18</v>
      </c>
    </row>
    <row r="764" spans="1:14" x14ac:dyDescent="0.25">
      <c r="A764">
        <v>20657</v>
      </c>
      <c r="B764" s="3" t="s">
        <v>37</v>
      </c>
      <c r="C764" t="s">
        <v>39</v>
      </c>
      <c r="D764" s="4">
        <v>50000</v>
      </c>
      <c r="E764">
        <v>2</v>
      </c>
      <c r="F764" t="s">
        <v>13</v>
      </c>
      <c r="G764" t="s">
        <v>14</v>
      </c>
      <c r="H764" t="s">
        <v>15</v>
      </c>
      <c r="I764">
        <v>0</v>
      </c>
      <c r="J764" t="s">
        <v>22</v>
      </c>
      <c r="K764" t="s">
        <v>32</v>
      </c>
      <c r="L764">
        <v>37</v>
      </c>
      <c r="M764" t="str">
        <f t="shared" si="11"/>
        <v>Invalide</v>
      </c>
      <c r="N764" t="s">
        <v>15</v>
      </c>
    </row>
    <row r="765" spans="1:14" x14ac:dyDescent="0.25">
      <c r="A765">
        <v>12882</v>
      </c>
      <c r="B765" s="3"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s="3" t="s">
        <v>36</v>
      </c>
      <c r="C766" t="s">
        <v>38</v>
      </c>
      <c r="D766" s="4">
        <v>60000</v>
      </c>
      <c r="E766">
        <v>0</v>
      </c>
      <c r="F766" t="s">
        <v>19</v>
      </c>
      <c r="G766" t="s">
        <v>14</v>
      </c>
      <c r="H766" t="s">
        <v>18</v>
      </c>
      <c r="I766">
        <v>1</v>
      </c>
      <c r="J766" t="s">
        <v>26</v>
      </c>
      <c r="K766" t="s">
        <v>32</v>
      </c>
      <c r="L766">
        <v>27</v>
      </c>
      <c r="M766" t="str">
        <f t="shared" si="11"/>
        <v>Middle Age</v>
      </c>
      <c r="N766" t="s">
        <v>18</v>
      </c>
    </row>
    <row r="767" spans="1:14" x14ac:dyDescent="0.25">
      <c r="A767">
        <v>16753</v>
      </c>
      <c r="B767" s="3"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s="3"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25">
      <c r="A769">
        <v>24979</v>
      </c>
      <c r="B769" s="3"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s="3"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s="3" t="s">
        <v>36</v>
      </c>
      <c r="C771" t="s">
        <v>38</v>
      </c>
      <c r="D771" s="4">
        <v>100000</v>
      </c>
      <c r="E771">
        <v>4</v>
      </c>
      <c r="F771" t="s">
        <v>13</v>
      </c>
      <c r="G771" t="s">
        <v>28</v>
      </c>
      <c r="H771" t="s">
        <v>15</v>
      </c>
      <c r="I771">
        <v>4</v>
      </c>
      <c r="J771" t="s">
        <v>16</v>
      </c>
      <c r="K771" t="s">
        <v>32</v>
      </c>
      <c r="L771">
        <v>40</v>
      </c>
      <c r="M771" t="str">
        <f t="shared" ref="M771:M834" si="12">IF(L771&gt;51,"Old",IF(L773&gt;=31,"Middle Age",IF(L771&lt;31,"Adolescent","Invalide")))</f>
        <v>Middle Age</v>
      </c>
      <c r="N771" t="s">
        <v>18</v>
      </c>
    </row>
    <row r="772" spans="1:14" x14ac:dyDescent="0.25">
      <c r="A772">
        <v>17699</v>
      </c>
      <c r="B772" s="3" t="s">
        <v>36</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s="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s="3"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s="3"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s="3"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s="3" t="s">
        <v>36</v>
      </c>
      <c r="C777" t="s">
        <v>39</v>
      </c>
      <c r="D777" s="4">
        <v>70000</v>
      </c>
      <c r="E777">
        <v>2</v>
      </c>
      <c r="F777" t="s">
        <v>29</v>
      </c>
      <c r="G777" t="s">
        <v>14</v>
      </c>
      <c r="H777" t="s">
        <v>15</v>
      </c>
      <c r="I777">
        <v>2</v>
      </c>
      <c r="J777" t="s">
        <v>46</v>
      </c>
      <c r="K777" t="s">
        <v>32</v>
      </c>
      <c r="L777">
        <v>54</v>
      </c>
      <c r="M777" t="str">
        <f t="shared" si="12"/>
        <v>Old</v>
      </c>
      <c r="N777" t="s">
        <v>18</v>
      </c>
    </row>
    <row r="778" spans="1:14" x14ac:dyDescent="0.25">
      <c r="A778">
        <v>26490</v>
      </c>
      <c r="B778" s="3"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s="3" t="s">
        <v>37</v>
      </c>
      <c r="C779" t="s">
        <v>39</v>
      </c>
      <c r="D779" s="4">
        <v>40000</v>
      </c>
      <c r="E779">
        <v>0</v>
      </c>
      <c r="F779" t="s">
        <v>27</v>
      </c>
      <c r="G779" t="s">
        <v>14</v>
      </c>
      <c r="H779" t="s">
        <v>15</v>
      </c>
      <c r="I779">
        <v>2</v>
      </c>
      <c r="J779" t="s">
        <v>23</v>
      </c>
      <c r="K779" t="s">
        <v>32</v>
      </c>
      <c r="L779">
        <v>27</v>
      </c>
      <c r="M779" t="str">
        <f t="shared" si="12"/>
        <v>Middle Age</v>
      </c>
      <c r="N779" t="s">
        <v>18</v>
      </c>
    </row>
    <row r="780" spans="1:14" x14ac:dyDescent="0.25">
      <c r="A780">
        <v>17260</v>
      </c>
      <c r="B780" s="3"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s="3"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s="3" t="s">
        <v>36</v>
      </c>
      <c r="C782" t="s">
        <v>38</v>
      </c>
      <c r="D782" s="4">
        <v>60000</v>
      </c>
      <c r="E782">
        <v>2</v>
      </c>
      <c r="F782" t="s">
        <v>19</v>
      </c>
      <c r="G782" t="s">
        <v>21</v>
      </c>
      <c r="H782" t="s">
        <v>15</v>
      </c>
      <c r="I782">
        <v>1</v>
      </c>
      <c r="J782" t="s">
        <v>46</v>
      </c>
      <c r="K782" t="s">
        <v>32</v>
      </c>
      <c r="L782">
        <v>55</v>
      </c>
      <c r="M782" t="str">
        <f t="shared" si="12"/>
        <v>Old</v>
      </c>
      <c r="N782" t="s">
        <v>18</v>
      </c>
    </row>
    <row r="783" spans="1:14" x14ac:dyDescent="0.25">
      <c r="A783">
        <v>19660</v>
      </c>
      <c r="B783" s="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s="3"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s="3" t="s">
        <v>36</v>
      </c>
      <c r="C785" t="s">
        <v>39</v>
      </c>
      <c r="D785" s="4">
        <v>60000</v>
      </c>
      <c r="E785">
        <v>4</v>
      </c>
      <c r="F785" t="s">
        <v>13</v>
      </c>
      <c r="G785" t="s">
        <v>14</v>
      </c>
      <c r="H785" t="s">
        <v>15</v>
      </c>
      <c r="I785">
        <v>3</v>
      </c>
      <c r="J785" t="s">
        <v>23</v>
      </c>
      <c r="K785" t="s">
        <v>32</v>
      </c>
      <c r="L785">
        <v>42</v>
      </c>
      <c r="M785" t="str">
        <f t="shared" si="12"/>
        <v>Invalide</v>
      </c>
      <c r="N785" t="s">
        <v>18</v>
      </c>
    </row>
    <row r="786" spans="1:14" x14ac:dyDescent="0.25">
      <c r="A786">
        <v>20076</v>
      </c>
      <c r="B786" s="3" t="s">
        <v>37</v>
      </c>
      <c r="C786" t="s">
        <v>38</v>
      </c>
      <c r="D786" s="4">
        <v>10000</v>
      </c>
      <c r="E786">
        <v>2</v>
      </c>
      <c r="F786" t="s">
        <v>27</v>
      </c>
      <c r="G786" t="s">
        <v>25</v>
      </c>
      <c r="H786" t="s">
        <v>15</v>
      </c>
      <c r="I786">
        <v>2</v>
      </c>
      <c r="J786" t="s">
        <v>26</v>
      </c>
      <c r="K786" t="s">
        <v>32</v>
      </c>
      <c r="L786">
        <v>53</v>
      </c>
      <c r="M786" t="str">
        <f t="shared" si="12"/>
        <v>Old</v>
      </c>
      <c r="N786" t="s">
        <v>15</v>
      </c>
    </row>
    <row r="787" spans="1:14" x14ac:dyDescent="0.25">
      <c r="A787">
        <v>24496</v>
      </c>
      <c r="B787" s="3" t="s">
        <v>37</v>
      </c>
      <c r="C787" t="s">
        <v>38</v>
      </c>
      <c r="D787" s="4">
        <v>40000</v>
      </c>
      <c r="E787">
        <v>0</v>
      </c>
      <c r="F787" t="s">
        <v>27</v>
      </c>
      <c r="G787" t="s">
        <v>14</v>
      </c>
      <c r="H787" t="s">
        <v>18</v>
      </c>
      <c r="I787">
        <v>2</v>
      </c>
      <c r="J787" t="s">
        <v>16</v>
      </c>
      <c r="K787" t="s">
        <v>32</v>
      </c>
      <c r="L787">
        <v>28</v>
      </c>
      <c r="M787" t="str">
        <f t="shared" si="12"/>
        <v>Middle Age</v>
      </c>
      <c r="N787" t="s">
        <v>15</v>
      </c>
    </row>
    <row r="788" spans="1:14" x14ac:dyDescent="0.25">
      <c r="A788">
        <v>15468</v>
      </c>
      <c r="B788" s="3"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s="3"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s="3"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s="3" t="s">
        <v>36</v>
      </c>
      <c r="C791" t="s">
        <v>39</v>
      </c>
      <c r="D791" s="4">
        <v>60000</v>
      </c>
      <c r="E791">
        <v>2</v>
      </c>
      <c r="F791" t="s">
        <v>27</v>
      </c>
      <c r="G791" t="s">
        <v>21</v>
      </c>
      <c r="H791" t="s">
        <v>18</v>
      </c>
      <c r="I791">
        <v>2</v>
      </c>
      <c r="J791" t="s">
        <v>26</v>
      </c>
      <c r="K791" t="s">
        <v>32</v>
      </c>
      <c r="L791">
        <v>48</v>
      </c>
      <c r="M791" t="str">
        <f t="shared" si="12"/>
        <v>Invalide</v>
      </c>
      <c r="N791" t="s">
        <v>15</v>
      </c>
    </row>
    <row r="792" spans="1:14" x14ac:dyDescent="0.25">
      <c r="A792">
        <v>28228</v>
      </c>
      <c r="B792" s="3"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s="3" t="s">
        <v>36</v>
      </c>
      <c r="C793" t="s">
        <v>39</v>
      </c>
      <c r="D793" s="4">
        <v>40000</v>
      </c>
      <c r="E793">
        <v>0</v>
      </c>
      <c r="F793" t="s">
        <v>27</v>
      </c>
      <c r="G793" t="s">
        <v>14</v>
      </c>
      <c r="H793" t="s">
        <v>15</v>
      </c>
      <c r="I793">
        <v>2</v>
      </c>
      <c r="J793" t="s">
        <v>23</v>
      </c>
      <c r="K793" t="s">
        <v>32</v>
      </c>
      <c r="L793">
        <v>28</v>
      </c>
      <c r="M793" t="str">
        <f t="shared" si="12"/>
        <v>Middle Age</v>
      </c>
      <c r="N793" t="s">
        <v>15</v>
      </c>
    </row>
    <row r="794" spans="1:14" x14ac:dyDescent="0.25">
      <c r="A794">
        <v>23256</v>
      </c>
      <c r="B794" s="3" t="s">
        <v>37</v>
      </c>
      <c r="C794" t="s">
        <v>39</v>
      </c>
      <c r="D794" s="4">
        <v>30000</v>
      </c>
      <c r="E794">
        <v>1</v>
      </c>
      <c r="F794" t="s">
        <v>27</v>
      </c>
      <c r="G794" t="s">
        <v>20</v>
      </c>
      <c r="H794" t="s">
        <v>18</v>
      </c>
      <c r="I794">
        <v>1</v>
      </c>
      <c r="J794" t="s">
        <v>23</v>
      </c>
      <c r="K794" t="s">
        <v>32</v>
      </c>
      <c r="L794">
        <v>52</v>
      </c>
      <c r="M794" t="str">
        <f t="shared" si="12"/>
        <v>Old</v>
      </c>
      <c r="N794" t="s">
        <v>18</v>
      </c>
    </row>
    <row r="795" spans="1:14" x14ac:dyDescent="0.25">
      <c r="A795">
        <v>12768</v>
      </c>
      <c r="B795" s="3" t="s">
        <v>36</v>
      </c>
      <c r="C795" t="s">
        <v>39</v>
      </c>
      <c r="D795" s="4">
        <v>30000</v>
      </c>
      <c r="E795">
        <v>1</v>
      </c>
      <c r="F795" t="s">
        <v>27</v>
      </c>
      <c r="G795" t="s">
        <v>20</v>
      </c>
      <c r="H795" t="s">
        <v>15</v>
      </c>
      <c r="I795">
        <v>1</v>
      </c>
      <c r="J795" t="s">
        <v>22</v>
      </c>
      <c r="K795" t="s">
        <v>32</v>
      </c>
      <c r="L795">
        <v>52</v>
      </c>
      <c r="M795" t="str">
        <f t="shared" si="12"/>
        <v>Old</v>
      </c>
      <c r="N795" t="s">
        <v>15</v>
      </c>
    </row>
    <row r="796" spans="1:14" x14ac:dyDescent="0.25">
      <c r="A796">
        <v>20361</v>
      </c>
      <c r="B796" s="3"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s="3" t="s">
        <v>37</v>
      </c>
      <c r="C797" t="s">
        <v>39</v>
      </c>
      <c r="D797" s="4">
        <v>60000</v>
      </c>
      <c r="E797">
        <v>2</v>
      </c>
      <c r="F797" t="s">
        <v>27</v>
      </c>
      <c r="G797" t="s">
        <v>21</v>
      </c>
      <c r="H797" t="s">
        <v>15</v>
      </c>
      <c r="I797">
        <v>2</v>
      </c>
      <c r="J797" t="s">
        <v>23</v>
      </c>
      <c r="K797" t="s">
        <v>32</v>
      </c>
      <c r="L797">
        <v>51</v>
      </c>
      <c r="M797" t="str">
        <f t="shared" si="12"/>
        <v>Invalide</v>
      </c>
      <c r="N797" t="s">
        <v>18</v>
      </c>
    </row>
    <row r="798" spans="1:14" x14ac:dyDescent="0.25">
      <c r="A798">
        <v>13382</v>
      </c>
      <c r="B798" s="3"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s="3" t="s">
        <v>37</v>
      </c>
      <c r="C799" t="s">
        <v>39</v>
      </c>
      <c r="D799" s="4">
        <v>60000</v>
      </c>
      <c r="E799">
        <v>0</v>
      </c>
      <c r="F799" t="s">
        <v>19</v>
      </c>
      <c r="G799" t="s">
        <v>14</v>
      </c>
      <c r="H799" t="s">
        <v>15</v>
      </c>
      <c r="I799">
        <v>1</v>
      </c>
      <c r="J799" t="s">
        <v>23</v>
      </c>
      <c r="K799" t="s">
        <v>32</v>
      </c>
      <c r="L799">
        <v>27</v>
      </c>
      <c r="M799" t="str">
        <f t="shared" si="12"/>
        <v>Middle Age</v>
      </c>
      <c r="N799" t="s">
        <v>15</v>
      </c>
    </row>
    <row r="800" spans="1:14" x14ac:dyDescent="0.25">
      <c r="A800">
        <v>22971</v>
      </c>
      <c r="B800" s="3" t="s">
        <v>37</v>
      </c>
      <c r="C800" t="s">
        <v>38</v>
      </c>
      <c r="D800" s="4">
        <v>30000</v>
      </c>
      <c r="E800">
        <v>0</v>
      </c>
      <c r="F800" t="s">
        <v>27</v>
      </c>
      <c r="G800" t="s">
        <v>14</v>
      </c>
      <c r="H800" t="s">
        <v>18</v>
      </c>
      <c r="I800">
        <v>2</v>
      </c>
      <c r="J800" t="s">
        <v>16</v>
      </c>
      <c r="K800" t="s">
        <v>32</v>
      </c>
      <c r="L800">
        <v>25</v>
      </c>
      <c r="M800" t="str">
        <f t="shared" si="12"/>
        <v>Middle Age</v>
      </c>
      <c r="N800" t="s">
        <v>15</v>
      </c>
    </row>
    <row r="801" spans="1:14" x14ac:dyDescent="0.25">
      <c r="A801">
        <v>15287</v>
      </c>
      <c r="B801" s="3"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s="3" t="s">
        <v>37</v>
      </c>
      <c r="C802" t="s">
        <v>39</v>
      </c>
      <c r="D802" s="4">
        <v>60000</v>
      </c>
      <c r="E802">
        <v>4</v>
      </c>
      <c r="F802" t="s">
        <v>13</v>
      </c>
      <c r="G802" t="s">
        <v>21</v>
      </c>
      <c r="H802" t="s">
        <v>15</v>
      </c>
      <c r="I802">
        <v>2</v>
      </c>
      <c r="J802" t="s">
        <v>22</v>
      </c>
      <c r="K802" t="s">
        <v>32</v>
      </c>
      <c r="L802">
        <v>43</v>
      </c>
      <c r="M802" t="str">
        <f t="shared" si="12"/>
        <v>Invalide</v>
      </c>
      <c r="N802" t="s">
        <v>15</v>
      </c>
    </row>
    <row r="803" spans="1:14" x14ac:dyDescent="0.25">
      <c r="A803">
        <v>11255</v>
      </c>
      <c r="B803" s="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s="3"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s="3" t="s">
        <v>36</v>
      </c>
      <c r="C805" t="s">
        <v>39</v>
      </c>
      <c r="D805" s="4">
        <v>40000</v>
      </c>
      <c r="E805">
        <v>0</v>
      </c>
      <c r="F805" t="s">
        <v>27</v>
      </c>
      <c r="G805" t="s">
        <v>14</v>
      </c>
      <c r="H805" t="s">
        <v>15</v>
      </c>
      <c r="I805">
        <v>2</v>
      </c>
      <c r="J805" t="s">
        <v>23</v>
      </c>
      <c r="K805" t="s">
        <v>32</v>
      </c>
      <c r="L805">
        <v>28</v>
      </c>
      <c r="M805" t="str">
        <f t="shared" si="12"/>
        <v>Middle Age</v>
      </c>
      <c r="N805" t="s">
        <v>15</v>
      </c>
    </row>
    <row r="806" spans="1:14" x14ac:dyDescent="0.25">
      <c r="A806">
        <v>13154</v>
      </c>
      <c r="B806" s="3" t="s">
        <v>36</v>
      </c>
      <c r="C806" t="s">
        <v>39</v>
      </c>
      <c r="D806" s="4">
        <v>40000</v>
      </c>
      <c r="E806">
        <v>0</v>
      </c>
      <c r="F806" t="s">
        <v>27</v>
      </c>
      <c r="G806" t="s">
        <v>14</v>
      </c>
      <c r="H806" t="s">
        <v>18</v>
      </c>
      <c r="I806">
        <v>2</v>
      </c>
      <c r="J806" t="s">
        <v>16</v>
      </c>
      <c r="K806" t="s">
        <v>32</v>
      </c>
      <c r="L806">
        <v>27</v>
      </c>
      <c r="M806" t="str">
        <f t="shared" si="12"/>
        <v>Middle Age</v>
      </c>
      <c r="N806" t="s">
        <v>15</v>
      </c>
    </row>
    <row r="807" spans="1:14" x14ac:dyDescent="0.25">
      <c r="A807">
        <v>26778</v>
      </c>
      <c r="B807" s="3"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s="3" t="s">
        <v>36</v>
      </c>
      <c r="C808" t="s">
        <v>38</v>
      </c>
      <c r="D808" s="4">
        <v>10000</v>
      </c>
      <c r="E808">
        <v>2</v>
      </c>
      <c r="F808" t="s">
        <v>27</v>
      </c>
      <c r="G808" t="s">
        <v>25</v>
      </c>
      <c r="H808" t="s">
        <v>15</v>
      </c>
      <c r="I808">
        <v>2</v>
      </c>
      <c r="J808" t="s">
        <v>26</v>
      </c>
      <c r="K808" t="s">
        <v>32</v>
      </c>
      <c r="L808">
        <v>53</v>
      </c>
      <c r="M808" t="str">
        <f t="shared" si="12"/>
        <v>Old</v>
      </c>
      <c r="N808" t="s">
        <v>18</v>
      </c>
    </row>
    <row r="809" spans="1:14" x14ac:dyDescent="0.25">
      <c r="A809">
        <v>21417</v>
      </c>
      <c r="B809" s="3"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s="3"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s="3"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s="3" t="s">
        <v>37</v>
      </c>
      <c r="C812" t="s">
        <v>38</v>
      </c>
      <c r="D812" s="4">
        <v>70000</v>
      </c>
      <c r="E812">
        <v>3</v>
      </c>
      <c r="F812" t="s">
        <v>31</v>
      </c>
      <c r="G812" t="s">
        <v>28</v>
      </c>
      <c r="H812" t="s">
        <v>15</v>
      </c>
      <c r="I812">
        <v>2</v>
      </c>
      <c r="J812" t="s">
        <v>23</v>
      </c>
      <c r="K812" t="s">
        <v>32</v>
      </c>
      <c r="L812">
        <v>52</v>
      </c>
      <c r="M812" t="str">
        <f t="shared" si="12"/>
        <v>Old</v>
      </c>
      <c r="N812" t="s">
        <v>15</v>
      </c>
    </row>
    <row r="813" spans="1:14" x14ac:dyDescent="0.25">
      <c r="A813">
        <v>25954</v>
      </c>
      <c r="B813" s="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s="3" t="s">
        <v>37</v>
      </c>
      <c r="C814" t="s">
        <v>38</v>
      </c>
      <c r="D814" s="4">
        <v>70000</v>
      </c>
      <c r="E814">
        <v>4</v>
      </c>
      <c r="F814" t="s">
        <v>13</v>
      </c>
      <c r="G814" t="s">
        <v>28</v>
      </c>
      <c r="H814" t="s">
        <v>15</v>
      </c>
      <c r="I814">
        <v>2</v>
      </c>
      <c r="J814" t="s">
        <v>46</v>
      </c>
      <c r="K814" t="s">
        <v>32</v>
      </c>
      <c r="L814">
        <v>61</v>
      </c>
      <c r="M814" t="str">
        <f t="shared" si="12"/>
        <v>Old</v>
      </c>
      <c r="N814" t="s">
        <v>18</v>
      </c>
    </row>
    <row r="815" spans="1:14" x14ac:dyDescent="0.25">
      <c r="A815">
        <v>25899</v>
      </c>
      <c r="B815" s="3" t="s">
        <v>36</v>
      </c>
      <c r="C815" t="s">
        <v>38</v>
      </c>
      <c r="D815" s="4">
        <v>70000</v>
      </c>
      <c r="E815">
        <v>2</v>
      </c>
      <c r="F815" t="s">
        <v>27</v>
      </c>
      <c r="G815" t="s">
        <v>21</v>
      </c>
      <c r="H815" t="s">
        <v>15</v>
      </c>
      <c r="I815">
        <v>2</v>
      </c>
      <c r="J815" t="s">
        <v>46</v>
      </c>
      <c r="K815" t="s">
        <v>32</v>
      </c>
      <c r="L815">
        <v>53</v>
      </c>
      <c r="M815" t="str">
        <f t="shared" si="12"/>
        <v>Old</v>
      </c>
      <c r="N815" t="s">
        <v>18</v>
      </c>
    </row>
    <row r="816" spans="1:14" x14ac:dyDescent="0.25">
      <c r="A816">
        <v>13351</v>
      </c>
      <c r="B816" s="3"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s="3" t="s">
        <v>36</v>
      </c>
      <c r="C817" t="s">
        <v>39</v>
      </c>
      <c r="D817" s="4">
        <v>40000</v>
      </c>
      <c r="E817">
        <v>0</v>
      </c>
      <c r="F817" t="s">
        <v>19</v>
      </c>
      <c r="G817" t="s">
        <v>14</v>
      </c>
      <c r="H817" t="s">
        <v>18</v>
      </c>
      <c r="I817">
        <v>2</v>
      </c>
      <c r="J817" t="s">
        <v>26</v>
      </c>
      <c r="K817" t="s">
        <v>32</v>
      </c>
      <c r="L817">
        <v>30</v>
      </c>
      <c r="M817" t="str">
        <f t="shared" si="12"/>
        <v>Middle Age</v>
      </c>
      <c r="N817" t="s">
        <v>18</v>
      </c>
    </row>
    <row r="818" spans="1:14" x14ac:dyDescent="0.25">
      <c r="A818">
        <v>21660</v>
      </c>
      <c r="B818" s="3" t="s">
        <v>36</v>
      </c>
      <c r="C818" t="s">
        <v>38</v>
      </c>
      <c r="D818" s="4">
        <v>60000</v>
      </c>
      <c r="E818">
        <v>3</v>
      </c>
      <c r="F818" t="s">
        <v>31</v>
      </c>
      <c r="G818" t="s">
        <v>21</v>
      </c>
      <c r="H818" t="s">
        <v>15</v>
      </c>
      <c r="I818">
        <v>0</v>
      </c>
      <c r="J818" t="s">
        <v>22</v>
      </c>
      <c r="K818" t="s">
        <v>32</v>
      </c>
      <c r="L818">
        <v>43</v>
      </c>
      <c r="M818" t="str">
        <f t="shared" si="12"/>
        <v>Invalide</v>
      </c>
      <c r="N818" t="s">
        <v>15</v>
      </c>
    </row>
    <row r="819" spans="1:14" x14ac:dyDescent="0.25">
      <c r="A819">
        <v>17012</v>
      </c>
      <c r="B819" s="3" t="s">
        <v>36</v>
      </c>
      <c r="C819" t="s">
        <v>38</v>
      </c>
      <c r="D819" s="4">
        <v>60000</v>
      </c>
      <c r="E819">
        <v>3</v>
      </c>
      <c r="F819" t="s">
        <v>31</v>
      </c>
      <c r="G819" t="s">
        <v>21</v>
      </c>
      <c r="H819" t="s">
        <v>15</v>
      </c>
      <c r="I819">
        <v>0</v>
      </c>
      <c r="J819" t="s">
        <v>22</v>
      </c>
      <c r="K819" t="s">
        <v>32</v>
      </c>
      <c r="L819">
        <v>42</v>
      </c>
      <c r="M819" t="str">
        <f t="shared" si="12"/>
        <v>Invalide</v>
      </c>
      <c r="N819" t="s">
        <v>15</v>
      </c>
    </row>
    <row r="820" spans="1:14" x14ac:dyDescent="0.25">
      <c r="A820">
        <v>24514</v>
      </c>
      <c r="B820" s="3" t="s">
        <v>36</v>
      </c>
      <c r="C820" t="s">
        <v>39</v>
      </c>
      <c r="D820" s="4">
        <v>40000</v>
      </c>
      <c r="E820">
        <v>0</v>
      </c>
      <c r="F820" t="s">
        <v>19</v>
      </c>
      <c r="G820" t="s">
        <v>14</v>
      </c>
      <c r="H820" t="s">
        <v>15</v>
      </c>
      <c r="I820">
        <v>1</v>
      </c>
      <c r="J820" t="s">
        <v>23</v>
      </c>
      <c r="K820" t="s">
        <v>32</v>
      </c>
      <c r="L820">
        <v>30</v>
      </c>
      <c r="M820" t="str">
        <f t="shared" si="12"/>
        <v>Middle Age</v>
      </c>
      <c r="N820" t="s">
        <v>18</v>
      </c>
    </row>
    <row r="821" spans="1:14" x14ac:dyDescent="0.25">
      <c r="A821">
        <v>27505</v>
      </c>
      <c r="B821" s="3" t="s">
        <v>37</v>
      </c>
      <c r="C821" t="s">
        <v>38</v>
      </c>
      <c r="D821" s="4">
        <v>40000</v>
      </c>
      <c r="E821">
        <v>0</v>
      </c>
      <c r="F821" t="s">
        <v>27</v>
      </c>
      <c r="G821" t="s">
        <v>14</v>
      </c>
      <c r="H821" t="s">
        <v>15</v>
      </c>
      <c r="I821">
        <v>2</v>
      </c>
      <c r="J821" t="s">
        <v>23</v>
      </c>
      <c r="K821" t="s">
        <v>32</v>
      </c>
      <c r="L821">
        <v>30</v>
      </c>
      <c r="M821" t="str">
        <f t="shared" si="12"/>
        <v>Middle Age</v>
      </c>
      <c r="N821" t="s">
        <v>18</v>
      </c>
    </row>
    <row r="822" spans="1:14" x14ac:dyDescent="0.25">
      <c r="A822">
        <v>29243</v>
      </c>
      <c r="B822" s="3"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s="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s="3"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s="3"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s="3"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s="3" t="s">
        <v>36</v>
      </c>
      <c r="C827" t="s">
        <v>39</v>
      </c>
      <c r="D827" s="4">
        <v>70000</v>
      </c>
      <c r="E827">
        <v>3</v>
      </c>
      <c r="F827" t="s">
        <v>27</v>
      </c>
      <c r="G827" t="s">
        <v>21</v>
      </c>
      <c r="H827" t="s">
        <v>18</v>
      </c>
      <c r="I827">
        <v>1</v>
      </c>
      <c r="J827" t="s">
        <v>26</v>
      </c>
      <c r="K827" t="s">
        <v>32</v>
      </c>
      <c r="L827">
        <v>52</v>
      </c>
      <c r="M827" t="str">
        <f t="shared" si="12"/>
        <v>Old</v>
      </c>
      <c r="N827" t="s">
        <v>15</v>
      </c>
    </row>
    <row r="828" spans="1:14" x14ac:dyDescent="0.25">
      <c r="A828">
        <v>15501</v>
      </c>
      <c r="B828" s="3" t="s">
        <v>36</v>
      </c>
      <c r="C828" t="s">
        <v>39</v>
      </c>
      <c r="D828" s="4">
        <v>70000</v>
      </c>
      <c r="E828">
        <v>4</v>
      </c>
      <c r="F828" t="s">
        <v>31</v>
      </c>
      <c r="G828" t="s">
        <v>21</v>
      </c>
      <c r="H828" t="s">
        <v>15</v>
      </c>
      <c r="I828">
        <v>0</v>
      </c>
      <c r="J828" t="s">
        <v>22</v>
      </c>
      <c r="K828" t="s">
        <v>32</v>
      </c>
      <c r="L828">
        <v>36</v>
      </c>
      <c r="M828" t="str">
        <f t="shared" si="12"/>
        <v>Invalide</v>
      </c>
      <c r="N828" t="s">
        <v>15</v>
      </c>
    </row>
    <row r="829" spans="1:14" x14ac:dyDescent="0.25">
      <c r="A829">
        <v>13911</v>
      </c>
      <c r="B829" s="3"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s="3" t="s">
        <v>37</v>
      </c>
      <c r="C830" t="s">
        <v>38</v>
      </c>
      <c r="D830" s="4">
        <v>40000</v>
      </c>
      <c r="E830">
        <v>0</v>
      </c>
      <c r="F830" t="s">
        <v>29</v>
      </c>
      <c r="G830" t="s">
        <v>20</v>
      </c>
      <c r="H830" t="s">
        <v>15</v>
      </c>
      <c r="I830">
        <v>2</v>
      </c>
      <c r="J830" t="s">
        <v>23</v>
      </c>
      <c r="K830" t="s">
        <v>32</v>
      </c>
      <c r="L830">
        <v>26</v>
      </c>
      <c r="M830" t="str">
        <f t="shared" si="12"/>
        <v>Middle Age</v>
      </c>
      <c r="N830" t="s">
        <v>18</v>
      </c>
    </row>
    <row r="831" spans="1:14" x14ac:dyDescent="0.25">
      <c r="A831">
        <v>16009</v>
      </c>
      <c r="B831" s="3"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s="3"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s="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s="3"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s="3" t="s">
        <v>37</v>
      </c>
      <c r="C835" t="s">
        <v>38</v>
      </c>
      <c r="D835" s="4">
        <v>70000</v>
      </c>
      <c r="E835">
        <v>0</v>
      </c>
      <c r="F835" t="s">
        <v>13</v>
      </c>
      <c r="G835" t="s">
        <v>21</v>
      </c>
      <c r="H835" t="s">
        <v>18</v>
      </c>
      <c r="I835">
        <v>1</v>
      </c>
      <c r="J835" t="s">
        <v>16</v>
      </c>
      <c r="K835" t="s">
        <v>32</v>
      </c>
      <c r="L835">
        <v>37</v>
      </c>
      <c r="M835" t="str">
        <f t="shared" ref="M835:M898" si="13">IF(L835&gt;51,"Old",IF(L837&gt;=31,"Middle Age",IF(L835&lt;31,"Adolescent","Invalide")))</f>
        <v>Middle Age</v>
      </c>
      <c r="N835" t="s">
        <v>15</v>
      </c>
    </row>
    <row r="836" spans="1:14" x14ac:dyDescent="0.25">
      <c r="A836">
        <v>19889</v>
      </c>
      <c r="B836" s="3" t="s">
        <v>37</v>
      </c>
      <c r="C836" t="s">
        <v>38</v>
      </c>
      <c r="D836" s="4">
        <v>70000</v>
      </c>
      <c r="E836">
        <v>2</v>
      </c>
      <c r="F836" t="s">
        <v>29</v>
      </c>
      <c r="G836" t="s">
        <v>14</v>
      </c>
      <c r="H836" t="s">
        <v>18</v>
      </c>
      <c r="I836">
        <v>2</v>
      </c>
      <c r="J836" t="s">
        <v>22</v>
      </c>
      <c r="K836" t="s">
        <v>32</v>
      </c>
      <c r="L836">
        <v>54</v>
      </c>
      <c r="M836" t="str">
        <f t="shared" si="13"/>
        <v>Old</v>
      </c>
      <c r="N836" t="s">
        <v>15</v>
      </c>
    </row>
    <row r="837" spans="1:14" x14ac:dyDescent="0.25">
      <c r="A837">
        <v>12922</v>
      </c>
      <c r="B837" s="3"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s="3" t="s">
        <v>36</v>
      </c>
      <c r="C838" t="s">
        <v>38</v>
      </c>
      <c r="D838" s="4">
        <v>40000</v>
      </c>
      <c r="E838">
        <v>0</v>
      </c>
      <c r="F838" t="s">
        <v>19</v>
      </c>
      <c r="G838" t="s">
        <v>14</v>
      </c>
      <c r="H838" t="s">
        <v>15</v>
      </c>
      <c r="I838">
        <v>2</v>
      </c>
      <c r="J838" t="s">
        <v>23</v>
      </c>
      <c r="K838" t="s">
        <v>32</v>
      </c>
      <c r="L838">
        <v>28</v>
      </c>
      <c r="M838" t="str">
        <f t="shared" si="13"/>
        <v>Middle Age</v>
      </c>
      <c r="N838" t="s">
        <v>18</v>
      </c>
    </row>
    <row r="839" spans="1:14" x14ac:dyDescent="0.25">
      <c r="A839">
        <v>16773</v>
      </c>
      <c r="B839" s="3"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s="3"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s="3"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s="3" t="s">
        <v>36</v>
      </c>
      <c r="C842" t="s">
        <v>39</v>
      </c>
      <c r="D842" s="4">
        <v>70000</v>
      </c>
      <c r="E842">
        <v>4</v>
      </c>
      <c r="F842" t="s">
        <v>19</v>
      </c>
      <c r="G842" t="s">
        <v>21</v>
      </c>
      <c r="H842" t="s">
        <v>15</v>
      </c>
      <c r="I842">
        <v>2</v>
      </c>
      <c r="J842" t="s">
        <v>46</v>
      </c>
      <c r="K842" t="s">
        <v>32</v>
      </c>
      <c r="L842">
        <v>53</v>
      </c>
      <c r="M842" t="str">
        <f t="shared" si="13"/>
        <v>Old</v>
      </c>
      <c r="N842" t="s">
        <v>18</v>
      </c>
    </row>
    <row r="843" spans="1:14" x14ac:dyDescent="0.25">
      <c r="A843">
        <v>12056</v>
      </c>
      <c r="B843" s="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s="3"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s="3" t="s">
        <v>37</v>
      </c>
      <c r="C845" t="s">
        <v>39</v>
      </c>
      <c r="D845" s="4">
        <v>80000</v>
      </c>
      <c r="E845">
        <v>2</v>
      </c>
      <c r="F845" t="s">
        <v>29</v>
      </c>
      <c r="G845" t="s">
        <v>14</v>
      </c>
      <c r="H845" t="s">
        <v>18</v>
      </c>
      <c r="I845">
        <v>2</v>
      </c>
      <c r="J845" t="s">
        <v>26</v>
      </c>
      <c r="K845" t="s">
        <v>32</v>
      </c>
      <c r="L845">
        <v>52</v>
      </c>
      <c r="M845" t="str">
        <f t="shared" si="13"/>
        <v>Old</v>
      </c>
      <c r="N845" t="s">
        <v>18</v>
      </c>
    </row>
    <row r="846" spans="1:14" x14ac:dyDescent="0.25">
      <c r="A846">
        <v>22743</v>
      </c>
      <c r="B846" s="3" t="s">
        <v>36</v>
      </c>
      <c r="C846" t="s">
        <v>38</v>
      </c>
      <c r="D846" s="4">
        <v>40000</v>
      </c>
      <c r="E846">
        <v>5</v>
      </c>
      <c r="F846" t="s">
        <v>27</v>
      </c>
      <c r="G846" t="s">
        <v>21</v>
      </c>
      <c r="H846" t="s">
        <v>15</v>
      </c>
      <c r="I846">
        <v>2</v>
      </c>
      <c r="J846" t="s">
        <v>46</v>
      </c>
      <c r="K846" t="s">
        <v>32</v>
      </c>
      <c r="L846">
        <v>60</v>
      </c>
      <c r="M846" t="str">
        <f t="shared" si="13"/>
        <v>Old</v>
      </c>
      <c r="N846" t="s">
        <v>18</v>
      </c>
    </row>
    <row r="847" spans="1:14" x14ac:dyDescent="0.25">
      <c r="A847">
        <v>25343</v>
      </c>
      <c r="B847" s="3" t="s">
        <v>37</v>
      </c>
      <c r="C847" t="s">
        <v>38</v>
      </c>
      <c r="D847" s="4">
        <v>20000</v>
      </c>
      <c r="E847">
        <v>3</v>
      </c>
      <c r="F847" t="s">
        <v>29</v>
      </c>
      <c r="G847" t="s">
        <v>20</v>
      </c>
      <c r="H847" t="s">
        <v>15</v>
      </c>
      <c r="I847">
        <v>2</v>
      </c>
      <c r="J847" t="s">
        <v>26</v>
      </c>
      <c r="K847" t="s">
        <v>32</v>
      </c>
      <c r="L847">
        <v>50</v>
      </c>
      <c r="M847" t="str">
        <f t="shared" si="13"/>
        <v>Invalide</v>
      </c>
      <c r="N847" t="s">
        <v>18</v>
      </c>
    </row>
    <row r="848" spans="1:14" x14ac:dyDescent="0.25">
      <c r="A848">
        <v>13390</v>
      </c>
      <c r="B848" s="3"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s="3" t="s">
        <v>37</v>
      </c>
      <c r="C849" t="s">
        <v>38</v>
      </c>
      <c r="D849" s="4">
        <v>40000</v>
      </c>
      <c r="E849">
        <v>0</v>
      </c>
      <c r="F849" t="s">
        <v>29</v>
      </c>
      <c r="G849" t="s">
        <v>20</v>
      </c>
      <c r="H849" t="s">
        <v>15</v>
      </c>
      <c r="I849">
        <v>2</v>
      </c>
      <c r="J849" t="s">
        <v>23</v>
      </c>
      <c r="K849" t="s">
        <v>32</v>
      </c>
      <c r="L849">
        <v>29</v>
      </c>
      <c r="M849" t="str">
        <f t="shared" si="13"/>
        <v>Middle Age</v>
      </c>
      <c r="N849" t="s">
        <v>18</v>
      </c>
    </row>
    <row r="850" spans="1:14" x14ac:dyDescent="0.25">
      <c r="A850">
        <v>13176</v>
      </c>
      <c r="B850" s="3"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s="3"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s="3"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s="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s="3"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s="3"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s="3" t="s">
        <v>36</v>
      </c>
      <c r="C856" t="s">
        <v>38</v>
      </c>
      <c r="D856" s="4">
        <v>60000</v>
      </c>
      <c r="E856">
        <v>0</v>
      </c>
      <c r="F856" t="s">
        <v>19</v>
      </c>
      <c r="G856" t="s">
        <v>21</v>
      </c>
      <c r="H856" t="s">
        <v>15</v>
      </c>
      <c r="I856">
        <v>2</v>
      </c>
      <c r="J856" t="s">
        <v>23</v>
      </c>
      <c r="K856" t="s">
        <v>32</v>
      </c>
      <c r="L856">
        <v>32</v>
      </c>
      <c r="M856" t="str">
        <f t="shared" si="13"/>
        <v>Invalide</v>
      </c>
      <c r="N856" t="s">
        <v>18</v>
      </c>
    </row>
    <row r="857" spans="1:14" x14ac:dyDescent="0.25">
      <c r="A857">
        <v>18347</v>
      </c>
      <c r="B857" s="3"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s="3" t="s">
        <v>37</v>
      </c>
      <c r="C858" t="s">
        <v>39</v>
      </c>
      <c r="D858" s="4">
        <v>40000</v>
      </c>
      <c r="E858">
        <v>0</v>
      </c>
      <c r="F858" t="s">
        <v>19</v>
      </c>
      <c r="G858" t="s">
        <v>14</v>
      </c>
      <c r="H858" t="s">
        <v>15</v>
      </c>
      <c r="I858">
        <v>1</v>
      </c>
      <c r="J858" t="s">
        <v>23</v>
      </c>
      <c r="K858" t="s">
        <v>32</v>
      </c>
      <c r="L858">
        <v>27</v>
      </c>
      <c r="M858" t="str">
        <f t="shared" si="13"/>
        <v>Middle Age</v>
      </c>
      <c r="N858" t="s">
        <v>18</v>
      </c>
    </row>
    <row r="859" spans="1:14" x14ac:dyDescent="0.25">
      <c r="A859">
        <v>11745</v>
      </c>
      <c r="B859" s="3"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s="3"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s="3"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s="3"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s="3" t="s">
        <v>36</v>
      </c>
      <c r="C863" t="s">
        <v>38</v>
      </c>
      <c r="D863" s="4">
        <v>20000</v>
      </c>
      <c r="E863">
        <v>2</v>
      </c>
      <c r="F863" t="s">
        <v>27</v>
      </c>
      <c r="G863" t="s">
        <v>25</v>
      </c>
      <c r="H863" t="s">
        <v>18</v>
      </c>
      <c r="I863">
        <v>2</v>
      </c>
      <c r="J863" t="s">
        <v>26</v>
      </c>
      <c r="K863" t="s">
        <v>32</v>
      </c>
      <c r="L863">
        <v>53</v>
      </c>
      <c r="M863" t="str">
        <f t="shared" si="13"/>
        <v>Old</v>
      </c>
      <c r="N863" t="s">
        <v>15</v>
      </c>
    </row>
    <row r="864" spans="1:14" x14ac:dyDescent="0.25">
      <c r="A864">
        <v>22330</v>
      </c>
      <c r="B864" s="3"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s="3"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s="3"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s="3"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s="3" t="s">
        <v>36</v>
      </c>
      <c r="C868" t="s">
        <v>39</v>
      </c>
      <c r="D868" s="4">
        <v>60000</v>
      </c>
      <c r="E868">
        <v>2</v>
      </c>
      <c r="F868" t="s">
        <v>27</v>
      </c>
      <c r="G868" t="s">
        <v>21</v>
      </c>
      <c r="H868" t="s">
        <v>15</v>
      </c>
      <c r="I868">
        <v>2</v>
      </c>
      <c r="J868" t="s">
        <v>46</v>
      </c>
      <c r="K868" t="s">
        <v>32</v>
      </c>
      <c r="L868">
        <v>55</v>
      </c>
      <c r="M868" t="str">
        <f t="shared" si="13"/>
        <v>Old</v>
      </c>
      <c r="N868" t="s">
        <v>18</v>
      </c>
    </row>
    <row r="869" spans="1:14" x14ac:dyDescent="0.25">
      <c r="A869">
        <v>26693</v>
      </c>
      <c r="B869" s="3"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s="3" t="s">
        <v>37</v>
      </c>
      <c r="C870" t="s">
        <v>39</v>
      </c>
      <c r="D870" s="4">
        <v>30000</v>
      </c>
      <c r="E870">
        <v>5</v>
      </c>
      <c r="F870" t="s">
        <v>29</v>
      </c>
      <c r="G870" t="s">
        <v>14</v>
      </c>
      <c r="H870" t="s">
        <v>15</v>
      </c>
      <c r="I870">
        <v>3</v>
      </c>
      <c r="J870" t="s">
        <v>46</v>
      </c>
      <c r="K870" t="s">
        <v>32</v>
      </c>
      <c r="L870">
        <v>60</v>
      </c>
      <c r="M870" t="str">
        <f t="shared" si="13"/>
        <v>Old</v>
      </c>
      <c r="N870" t="s">
        <v>15</v>
      </c>
    </row>
    <row r="871" spans="1:14" x14ac:dyDescent="0.25">
      <c r="A871">
        <v>26065</v>
      </c>
      <c r="B871" s="3"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s="3"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s="3" t="s">
        <v>36</v>
      </c>
      <c r="C873" t="s">
        <v>39</v>
      </c>
      <c r="D873" s="4">
        <v>60000</v>
      </c>
      <c r="E873">
        <v>2</v>
      </c>
      <c r="F873" t="s">
        <v>27</v>
      </c>
      <c r="G873" t="s">
        <v>21</v>
      </c>
      <c r="H873" t="s">
        <v>15</v>
      </c>
      <c r="I873">
        <v>2</v>
      </c>
      <c r="J873" t="s">
        <v>46</v>
      </c>
      <c r="K873" t="s">
        <v>32</v>
      </c>
      <c r="L873">
        <v>55</v>
      </c>
      <c r="M873" t="str">
        <f t="shared" si="13"/>
        <v>Old</v>
      </c>
      <c r="N873" t="s">
        <v>18</v>
      </c>
    </row>
    <row r="874" spans="1:14" x14ac:dyDescent="0.25">
      <c r="A874">
        <v>22118</v>
      </c>
      <c r="B874" s="3" t="s">
        <v>37</v>
      </c>
      <c r="C874" t="s">
        <v>38</v>
      </c>
      <c r="D874" s="4">
        <v>70000</v>
      </c>
      <c r="E874">
        <v>3</v>
      </c>
      <c r="F874" t="s">
        <v>31</v>
      </c>
      <c r="G874" t="s">
        <v>28</v>
      </c>
      <c r="H874" t="s">
        <v>15</v>
      </c>
      <c r="I874">
        <v>2</v>
      </c>
      <c r="J874" t="s">
        <v>23</v>
      </c>
      <c r="K874" t="s">
        <v>32</v>
      </c>
      <c r="L874">
        <v>53</v>
      </c>
      <c r="M874" t="str">
        <f t="shared" si="13"/>
        <v>Old</v>
      </c>
      <c r="N874" t="s">
        <v>15</v>
      </c>
    </row>
    <row r="875" spans="1:14" x14ac:dyDescent="0.25">
      <c r="A875">
        <v>23197</v>
      </c>
      <c r="B875" s="3"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s="3" t="s">
        <v>36</v>
      </c>
      <c r="C876" t="s">
        <v>38</v>
      </c>
      <c r="D876" s="4">
        <v>30000</v>
      </c>
      <c r="E876">
        <v>1</v>
      </c>
      <c r="F876" t="s">
        <v>13</v>
      </c>
      <c r="G876" t="s">
        <v>14</v>
      </c>
      <c r="H876" t="s">
        <v>15</v>
      </c>
      <c r="I876">
        <v>1</v>
      </c>
      <c r="J876" t="s">
        <v>23</v>
      </c>
      <c r="K876" t="s">
        <v>32</v>
      </c>
      <c r="L876">
        <v>53</v>
      </c>
      <c r="M876" t="str">
        <f t="shared" si="13"/>
        <v>Old</v>
      </c>
      <c r="N876" t="s">
        <v>15</v>
      </c>
    </row>
    <row r="877" spans="1:14" x14ac:dyDescent="0.25">
      <c r="A877">
        <v>27279</v>
      </c>
      <c r="B877" s="3"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s="3" t="s">
        <v>37</v>
      </c>
      <c r="C878" t="s">
        <v>39</v>
      </c>
      <c r="D878" s="4">
        <v>30000</v>
      </c>
      <c r="E878">
        <v>0</v>
      </c>
      <c r="F878" t="s">
        <v>29</v>
      </c>
      <c r="G878" t="s">
        <v>20</v>
      </c>
      <c r="H878" t="s">
        <v>18</v>
      </c>
      <c r="I878">
        <v>2</v>
      </c>
      <c r="J878" t="s">
        <v>16</v>
      </c>
      <c r="K878" t="s">
        <v>32</v>
      </c>
      <c r="L878">
        <v>26</v>
      </c>
      <c r="M878" t="str">
        <f t="shared" si="13"/>
        <v>Middle Age</v>
      </c>
      <c r="N878" t="s">
        <v>18</v>
      </c>
    </row>
    <row r="879" spans="1:14" x14ac:dyDescent="0.25">
      <c r="A879">
        <v>15879</v>
      </c>
      <c r="B879" s="3"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s="3"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s="3"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s="3"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s="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s="3"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s="3"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s="3"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s="3"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s="3"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s="3"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s="3"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s="3"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s="3"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s="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s="3"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s="3"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s="3"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s="3"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s="3"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s="3" t="s">
        <v>36</v>
      </c>
      <c r="C899" t="s">
        <v>39</v>
      </c>
      <c r="D899" s="4">
        <v>30000</v>
      </c>
      <c r="E899">
        <v>0</v>
      </c>
      <c r="F899" t="s">
        <v>29</v>
      </c>
      <c r="G899" t="s">
        <v>20</v>
      </c>
      <c r="H899" t="s">
        <v>18</v>
      </c>
      <c r="I899">
        <v>2</v>
      </c>
      <c r="J899" t="s">
        <v>16</v>
      </c>
      <c r="K899" t="s">
        <v>32</v>
      </c>
      <c r="L899">
        <v>28</v>
      </c>
      <c r="M899" t="str">
        <f t="shared" ref="M899:M962" si="14">IF(L899&gt;51,"Old",IF(L901&gt;=31,"Middle Age",IF(L899&lt;31,"Adolescent","Invalide")))</f>
        <v>Middle Age</v>
      </c>
      <c r="N899" t="s">
        <v>18</v>
      </c>
    </row>
    <row r="900" spans="1:14" x14ac:dyDescent="0.25">
      <c r="A900">
        <v>18066</v>
      </c>
      <c r="B900" s="3" t="s">
        <v>37</v>
      </c>
      <c r="C900" t="s">
        <v>39</v>
      </c>
      <c r="D900" s="4">
        <v>70000</v>
      </c>
      <c r="E900">
        <v>5</v>
      </c>
      <c r="F900" t="s">
        <v>13</v>
      </c>
      <c r="G900" t="s">
        <v>28</v>
      </c>
      <c r="H900" t="s">
        <v>15</v>
      </c>
      <c r="I900">
        <v>3</v>
      </c>
      <c r="J900" t="s">
        <v>46</v>
      </c>
      <c r="K900" t="s">
        <v>32</v>
      </c>
      <c r="L900">
        <v>60</v>
      </c>
      <c r="M900" t="str">
        <f t="shared" si="14"/>
        <v>Old</v>
      </c>
      <c r="N900" t="s">
        <v>15</v>
      </c>
    </row>
    <row r="901" spans="1:14" x14ac:dyDescent="0.25">
      <c r="A901">
        <v>28192</v>
      </c>
      <c r="B901" s="3"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25">
      <c r="A902">
        <v>16122</v>
      </c>
      <c r="B902" s="3"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s="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s="3"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s="3"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s="3"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s="3"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s="3"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s="3" t="s">
        <v>36</v>
      </c>
      <c r="C909" t="s">
        <v>39</v>
      </c>
      <c r="D909" s="4">
        <v>50000</v>
      </c>
      <c r="E909">
        <v>4</v>
      </c>
      <c r="F909" t="s">
        <v>13</v>
      </c>
      <c r="G909" t="s">
        <v>28</v>
      </c>
      <c r="H909" t="s">
        <v>15</v>
      </c>
      <c r="I909">
        <v>2</v>
      </c>
      <c r="J909" t="s">
        <v>46</v>
      </c>
      <c r="K909" t="s">
        <v>32</v>
      </c>
      <c r="L909">
        <v>63</v>
      </c>
      <c r="M909" t="str">
        <f t="shared" si="14"/>
        <v>Old</v>
      </c>
      <c r="N909" t="s">
        <v>18</v>
      </c>
    </row>
    <row r="910" spans="1:14" x14ac:dyDescent="0.25">
      <c r="A910">
        <v>23195</v>
      </c>
      <c r="B910" s="3"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s="3"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s="3"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s="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s="3"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s="3"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s="3"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s="3" t="s">
        <v>36</v>
      </c>
      <c r="C917" t="s">
        <v>39</v>
      </c>
      <c r="D917" s="4">
        <v>60000</v>
      </c>
      <c r="E917">
        <v>3</v>
      </c>
      <c r="F917" t="s">
        <v>31</v>
      </c>
      <c r="G917" t="s">
        <v>28</v>
      </c>
      <c r="H917" t="s">
        <v>15</v>
      </c>
      <c r="I917">
        <v>2</v>
      </c>
      <c r="J917" t="s">
        <v>46</v>
      </c>
      <c r="K917" t="s">
        <v>32</v>
      </c>
      <c r="L917">
        <v>64</v>
      </c>
      <c r="M917" t="str">
        <f t="shared" si="14"/>
        <v>Old</v>
      </c>
      <c r="N917" t="s">
        <v>18</v>
      </c>
    </row>
    <row r="918" spans="1:14" x14ac:dyDescent="0.25">
      <c r="A918">
        <v>27273</v>
      </c>
      <c r="B918" s="3"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s="3"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s="3"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s="3" t="s">
        <v>36</v>
      </c>
      <c r="C921" t="s">
        <v>38</v>
      </c>
      <c r="D921" s="4">
        <v>40000</v>
      </c>
      <c r="E921">
        <v>4</v>
      </c>
      <c r="F921" t="s">
        <v>27</v>
      </c>
      <c r="G921" t="s">
        <v>21</v>
      </c>
      <c r="H921" t="s">
        <v>15</v>
      </c>
      <c r="I921">
        <v>2</v>
      </c>
      <c r="J921" t="s">
        <v>46</v>
      </c>
      <c r="K921" t="s">
        <v>32</v>
      </c>
      <c r="L921">
        <v>61</v>
      </c>
      <c r="M921" t="str">
        <f t="shared" si="14"/>
        <v>Old</v>
      </c>
      <c r="N921" t="s">
        <v>18</v>
      </c>
    </row>
    <row r="922" spans="1:14" x14ac:dyDescent="0.25">
      <c r="A922">
        <v>20754</v>
      </c>
      <c r="B922" s="3"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s="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s="3" t="s">
        <v>36</v>
      </c>
      <c r="C924" t="s">
        <v>38</v>
      </c>
      <c r="D924" s="4">
        <v>40000</v>
      </c>
      <c r="E924">
        <v>3</v>
      </c>
      <c r="F924" t="s">
        <v>19</v>
      </c>
      <c r="G924" t="s">
        <v>21</v>
      </c>
      <c r="H924" t="s">
        <v>18</v>
      </c>
      <c r="I924">
        <v>2</v>
      </c>
      <c r="J924" t="s">
        <v>26</v>
      </c>
      <c r="K924" t="s">
        <v>32</v>
      </c>
      <c r="L924">
        <v>54</v>
      </c>
      <c r="M924" t="str">
        <f t="shared" si="14"/>
        <v>Old</v>
      </c>
      <c r="N924" t="s">
        <v>15</v>
      </c>
    </row>
    <row r="925" spans="1:14" x14ac:dyDescent="0.25">
      <c r="A925">
        <v>26728</v>
      </c>
      <c r="B925" s="3" t="s">
        <v>37</v>
      </c>
      <c r="C925" t="s">
        <v>39</v>
      </c>
      <c r="D925" s="4">
        <v>70000</v>
      </c>
      <c r="E925">
        <v>3</v>
      </c>
      <c r="F925" t="s">
        <v>31</v>
      </c>
      <c r="G925" t="s">
        <v>28</v>
      </c>
      <c r="H925" t="s">
        <v>18</v>
      </c>
      <c r="I925">
        <v>2</v>
      </c>
      <c r="J925" t="s">
        <v>26</v>
      </c>
      <c r="K925" t="s">
        <v>32</v>
      </c>
      <c r="L925">
        <v>53</v>
      </c>
      <c r="M925" t="str">
        <f t="shared" si="14"/>
        <v>Old</v>
      </c>
      <c r="N925" t="s">
        <v>15</v>
      </c>
    </row>
    <row r="926" spans="1:14" x14ac:dyDescent="0.25">
      <c r="A926">
        <v>11090</v>
      </c>
      <c r="B926" s="3"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s="3"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s="3" t="s">
        <v>37</v>
      </c>
      <c r="C928" t="s">
        <v>38</v>
      </c>
      <c r="D928" s="4">
        <v>40000</v>
      </c>
      <c r="E928">
        <v>2</v>
      </c>
      <c r="F928" t="s">
        <v>27</v>
      </c>
      <c r="G928" t="s">
        <v>21</v>
      </c>
      <c r="H928" t="s">
        <v>15</v>
      </c>
      <c r="I928">
        <v>2</v>
      </c>
      <c r="J928" t="s">
        <v>46</v>
      </c>
      <c r="K928" t="s">
        <v>32</v>
      </c>
      <c r="L928">
        <v>57</v>
      </c>
      <c r="M928" t="str">
        <f t="shared" si="14"/>
        <v>Old</v>
      </c>
      <c r="N928" t="s">
        <v>18</v>
      </c>
    </row>
    <row r="929" spans="1:14" x14ac:dyDescent="0.25">
      <c r="A929">
        <v>11823</v>
      </c>
      <c r="B929" s="3"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s="3"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s="3"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s="3" t="s">
        <v>36</v>
      </c>
      <c r="C932" t="s">
        <v>39</v>
      </c>
      <c r="D932" s="4">
        <v>70000</v>
      </c>
      <c r="E932">
        <v>5</v>
      </c>
      <c r="F932" t="s">
        <v>31</v>
      </c>
      <c r="G932" t="s">
        <v>21</v>
      </c>
      <c r="H932" t="s">
        <v>18</v>
      </c>
      <c r="I932">
        <v>3</v>
      </c>
      <c r="J932" t="s">
        <v>46</v>
      </c>
      <c r="K932" t="s">
        <v>32</v>
      </c>
      <c r="L932">
        <v>47</v>
      </c>
      <c r="M932" t="str">
        <f t="shared" si="14"/>
        <v>Invalide</v>
      </c>
      <c r="N932" t="s">
        <v>18</v>
      </c>
    </row>
    <row r="933" spans="1:14" x14ac:dyDescent="0.25">
      <c r="A933">
        <v>14914</v>
      </c>
      <c r="B933" s="3" t="s">
        <v>36</v>
      </c>
      <c r="C933" t="s">
        <v>38</v>
      </c>
      <c r="D933" s="4">
        <v>40000</v>
      </c>
      <c r="E933">
        <v>1</v>
      </c>
      <c r="F933" t="s">
        <v>19</v>
      </c>
      <c r="G933" t="s">
        <v>20</v>
      </c>
      <c r="H933" t="s">
        <v>15</v>
      </c>
      <c r="I933">
        <v>1</v>
      </c>
      <c r="J933" t="s">
        <v>26</v>
      </c>
      <c r="K933" t="s">
        <v>32</v>
      </c>
      <c r="L933">
        <v>49</v>
      </c>
      <c r="M933" t="str">
        <f t="shared" si="14"/>
        <v>Invalide</v>
      </c>
      <c r="N933" t="s">
        <v>15</v>
      </c>
    </row>
    <row r="934" spans="1:14" x14ac:dyDescent="0.25">
      <c r="A934">
        <v>12033</v>
      </c>
      <c r="B934" s="3" t="s">
        <v>37</v>
      </c>
      <c r="C934" t="s">
        <v>38</v>
      </c>
      <c r="D934" s="4">
        <v>40000</v>
      </c>
      <c r="E934">
        <v>0</v>
      </c>
      <c r="F934" t="s">
        <v>27</v>
      </c>
      <c r="G934" t="s">
        <v>14</v>
      </c>
      <c r="H934" t="s">
        <v>18</v>
      </c>
      <c r="I934">
        <v>2</v>
      </c>
      <c r="J934" t="s">
        <v>16</v>
      </c>
      <c r="K934" t="s">
        <v>32</v>
      </c>
      <c r="L934">
        <v>27</v>
      </c>
      <c r="M934" t="str">
        <f t="shared" si="14"/>
        <v>Middle Age</v>
      </c>
      <c r="N934" t="s">
        <v>15</v>
      </c>
    </row>
    <row r="935" spans="1:14" x14ac:dyDescent="0.25">
      <c r="A935">
        <v>11941</v>
      </c>
      <c r="B935" s="3" t="s">
        <v>37</v>
      </c>
      <c r="C935" t="s">
        <v>39</v>
      </c>
      <c r="D935" s="4">
        <v>60000</v>
      </c>
      <c r="E935">
        <v>0</v>
      </c>
      <c r="F935" t="s">
        <v>19</v>
      </c>
      <c r="G935" t="s">
        <v>14</v>
      </c>
      <c r="H935" t="s">
        <v>15</v>
      </c>
      <c r="I935">
        <v>0</v>
      </c>
      <c r="J935" t="s">
        <v>23</v>
      </c>
      <c r="K935" t="s">
        <v>32</v>
      </c>
      <c r="L935">
        <v>29</v>
      </c>
      <c r="M935" t="str">
        <f t="shared" si="14"/>
        <v>Middle Age</v>
      </c>
      <c r="N935" t="s">
        <v>18</v>
      </c>
    </row>
    <row r="936" spans="1:14" x14ac:dyDescent="0.25">
      <c r="A936">
        <v>14389</v>
      </c>
      <c r="B936" s="3"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s="3"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s="3"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s="3"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s="3" t="s">
        <v>36</v>
      </c>
      <c r="C940" t="s">
        <v>38</v>
      </c>
      <c r="D940" s="4">
        <v>40000</v>
      </c>
      <c r="E940">
        <v>0</v>
      </c>
      <c r="F940" t="s">
        <v>27</v>
      </c>
      <c r="G940" t="s">
        <v>14</v>
      </c>
      <c r="H940" t="s">
        <v>15</v>
      </c>
      <c r="I940">
        <v>2</v>
      </c>
      <c r="J940" t="s">
        <v>23</v>
      </c>
      <c r="K940" t="s">
        <v>32</v>
      </c>
      <c r="L940">
        <v>27</v>
      </c>
      <c r="M940" t="str">
        <f t="shared" si="14"/>
        <v>Middle Age</v>
      </c>
      <c r="N940" t="s">
        <v>18</v>
      </c>
    </row>
    <row r="941" spans="1:14" x14ac:dyDescent="0.25">
      <c r="A941">
        <v>23455</v>
      </c>
      <c r="B941" s="3"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s="3"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s="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s="3" t="s">
        <v>36</v>
      </c>
      <c r="C944" t="s">
        <v>38</v>
      </c>
      <c r="D944" s="4">
        <v>40000</v>
      </c>
      <c r="E944">
        <v>3</v>
      </c>
      <c r="F944" t="s">
        <v>19</v>
      </c>
      <c r="G944" t="s">
        <v>21</v>
      </c>
      <c r="H944" t="s">
        <v>15</v>
      </c>
      <c r="I944">
        <v>2</v>
      </c>
      <c r="J944" t="s">
        <v>23</v>
      </c>
      <c r="K944" t="s">
        <v>32</v>
      </c>
      <c r="L944">
        <v>54</v>
      </c>
      <c r="M944" t="str">
        <f t="shared" si="14"/>
        <v>Old</v>
      </c>
      <c r="N944" t="s">
        <v>18</v>
      </c>
    </row>
    <row r="945" spans="1:14" x14ac:dyDescent="0.25">
      <c r="A945">
        <v>24322</v>
      </c>
      <c r="B945" s="3"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s="3"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s="3"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s="3"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s="3"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s="3"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s="3" t="s">
        <v>36</v>
      </c>
      <c r="C951" t="s">
        <v>39</v>
      </c>
      <c r="D951" s="4">
        <v>70000</v>
      </c>
      <c r="E951">
        <v>2</v>
      </c>
      <c r="F951" t="s">
        <v>29</v>
      </c>
      <c r="G951" t="s">
        <v>14</v>
      </c>
      <c r="H951" t="s">
        <v>15</v>
      </c>
      <c r="I951">
        <v>2</v>
      </c>
      <c r="J951" t="s">
        <v>46</v>
      </c>
      <c r="K951" t="s">
        <v>32</v>
      </c>
      <c r="L951">
        <v>53</v>
      </c>
      <c r="M951" t="str">
        <f t="shared" si="14"/>
        <v>Old</v>
      </c>
      <c r="N951" t="s">
        <v>18</v>
      </c>
    </row>
    <row r="952" spans="1:14" x14ac:dyDescent="0.25">
      <c r="A952">
        <v>11788</v>
      </c>
      <c r="B952" s="3"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s="3" t="s">
        <v>36</v>
      </c>
      <c r="C953" t="s">
        <v>39</v>
      </c>
      <c r="D953" s="4">
        <v>70000</v>
      </c>
      <c r="E953">
        <v>0</v>
      </c>
      <c r="F953" t="s">
        <v>13</v>
      </c>
      <c r="G953" t="s">
        <v>21</v>
      </c>
      <c r="H953" t="s">
        <v>18</v>
      </c>
      <c r="I953">
        <v>1</v>
      </c>
      <c r="J953" t="s">
        <v>16</v>
      </c>
      <c r="K953" t="s">
        <v>32</v>
      </c>
      <c r="L953">
        <v>38</v>
      </c>
      <c r="M953" t="str">
        <f t="shared" si="14"/>
        <v>Invalide</v>
      </c>
      <c r="N953" t="s">
        <v>18</v>
      </c>
    </row>
    <row r="954" spans="1:14" x14ac:dyDescent="0.25">
      <c r="A954">
        <v>15319</v>
      </c>
      <c r="B954" s="3"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s="3" t="s">
        <v>37</v>
      </c>
      <c r="C955" t="s">
        <v>38</v>
      </c>
      <c r="D955" s="4">
        <v>40000</v>
      </c>
      <c r="E955">
        <v>3</v>
      </c>
      <c r="F955" t="s">
        <v>19</v>
      </c>
      <c r="G955" t="s">
        <v>20</v>
      </c>
      <c r="H955" t="s">
        <v>15</v>
      </c>
      <c r="I955">
        <v>1</v>
      </c>
      <c r="J955" t="s">
        <v>26</v>
      </c>
      <c r="K955" t="s">
        <v>32</v>
      </c>
      <c r="L955">
        <v>30</v>
      </c>
      <c r="M955" t="str">
        <f t="shared" si="14"/>
        <v>Middle Age</v>
      </c>
      <c r="N955" t="s">
        <v>15</v>
      </c>
    </row>
    <row r="956" spans="1:14" x14ac:dyDescent="0.25">
      <c r="A956">
        <v>14662</v>
      </c>
      <c r="B956" s="3"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s="3" t="s">
        <v>36</v>
      </c>
      <c r="C957" t="s">
        <v>38</v>
      </c>
      <c r="D957" s="4">
        <v>40000</v>
      </c>
      <c r="E957">
        <v>4</v>
      </c>
      <c r="F957" t="s">
        <v>27</v>
      </c>
      <c r="G957" t="s">
        <v>14</v>
      </c>
      <c r="H957" t="s">
        <v>15</v>
      </c>
      <c r="I957">
        <v>2</v>
      </c>
      <c r="J957" t="s">
        <v>22</v>
      </c>
      <c r="K957" t="s">
        <v>32</v>
      </c>
      <c r="L957">
        <v>43</v>
      </c>
      <c r="M957" t="str">
        <f t="shared" si="14"/>
        <v>Invalide</v>
      </c>
      <c r="N957" t="s">
        <v>18</v>
      </c>
    </row>
    <row r="958" spans="1:14" x14ac:dyDescent="0.25">
      <c r="A958">
        <v>13886</v>
      </c>
      <c r="B958" s="3"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s="3" t="s">
        <v>36</v>
      </c>
      <c r="C959" t="s">
        <v>38</v>
      </c>
      <c r="D959" s="4">
        <v>60000</v>
      </c>
      <c r="E959">
        <v>0</v>
      </c>
      <c r="F959" t="s">
        <v>19</v>
      </c>
      <c r="G959" t="s">
        <v>21</v>
      </c>
      <c r="H959" t="s">
        <v>15</v>
      </c>
      <c r="I959">
        <v>2</v>
      </c>
      <c r="J959" t="s">
        <v>23</v>
      </c>
      <c r="K959" t="s">
        <v>32</v>
      </c>
      <c r="L959">
        <v>30</v>
      </c>
      <c r="M959" t="str">
        <f t="shared" si="14"/>
        <v>Middle Age</v>
      </c>
      <c r="N959" t="s">
        <v>18</v>
      </c>
    </row>
    <row r="960" spans="1:14" x14ac:dyDescent="0.25">
      <c r="A960">
        <v>21940</v>
      </c>
      <c r="B960" s="3"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s="3"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s="3"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s="3" t="s">
        <v>36</v>
      </c>
      <c r="C963" t="s">
        <v>38</v>
      </c>
      <c r="D963" s="4">
        <v>120000</v>
      </c>
      <c r="E963">
        <v>2</v>
      </c>
      <c r="F963" t="s">
        <v>13</v>
      </c>
      <c r="G963" t="s">
        <v>28</v>
      </c>
      <c r="H963" t="s">
        <v>15</v>
      </c>
      <c r="I963">
        <v>3</v>
      </c>
      <c r="J963" t="s">
        <v>23</v>
      </c>
      <c r="K963" t="s">
        <v>32</v>
      </c>
      <c r="L963">
        <v>62</v>
      </c>
      <c r="M963" t="str">
        <f t="shared" ref="M963:M1001" si="15">IF(L963&gt;51,"Old",IF(L965&gt;=31,"Middle Age",IF(L963&lt;31,"Adolescent","Invalide")))</f>
        <v>Old</v>
      </c>
      <c r="N963" t="s">
        <v>18</v>
      </c>
    </row>
    <row r="964" spans="1:14" x14ac:dyDescent="0.25">
      <c r="A964">
        <v>16813</v>
      </c>
      <c r="B964" s="3" t="s">
        <v>36</v>
      </c>
      <c r="C964" t="s">
        <v>39</v>
      </c>
      <c r="D964" s="4">
        <v>60000</v>
      </c>
      <c r="E964">
        <v>2</v>
      </c>
      <c r="F964" t="s">
        <v>19</v>
      </c>
      <c r="G964" t="s">
        <v>21</v>
      </c>
      <c r="H964" t="s">
        <v>15</v>
      </c>
      <c r="I964">
        <v>2</v>
      </c>
      <c r="J964" t="s">
        <v>46</v>
      </c>
      <c r="K964" t="s">
        <v>32</v>
      </c>
      <c r="L964">
        <v>55</v>
      </c>
      <c r="M964" t="str">
        <f t="shared" si="15"/>
        <v>Old</v>
      </c>
      <c r="N964" t="s">
        <v>18</v>
      </c>
    </row>
    <row r="965" spans="1:14" x14ac:dyDescent="0.25">
      <c r="A965">
        <v>16007</v>
      </c>
      <c r="B965" s="3"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s="3" t="s">
        <v>37</v>
      </c>
      <c r="C966" t="s">
        <v>39</v>
      </c>
      <c r="D966" s="4">
        <v>70000</v>
      </c>
      <c r="E966">
        <v>4</v>
      </c>
      <c r="F966" t="s">
        <v>19</v>
      </c>
      <c r="G966" t="s">
        <v>21</v>
      </c>
      <c r="H966" t="s">
        <v>15</v>
      </c>
      <c r="I966">
        <v>1</v>
      </c>
      <c r="J966" t="s">
        <v>46</v>
      </c>
      <c r="K966" t="s">
        <v>32</v>
      </c>
      <c r="L966">
        <v>56</v>
      </c>
      <c r="M966" t="str">
        <f t="shared" si="15"/>
        <v>Old</v>
      </c>
      <c r="N966" t="s">
        <v>18</v>
      </c>
    </row>
    <row r="967" spans="1:14" x14ac:dyDescent="0.25">
      <c r="A967">
        <v>27756</v>
      </c>
      <c r="B967" s="3"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s="3" t="s">
        <v>36</v>
      </c>
      <c r="C968" t="s">
        <v>38</v>
      </c>
      <c r="D968" s="4">
        <v>50000</v>
      </c>
      <c r="E968">
        <v>0</v>
      </c>
      <c r="F968" t="s">
        <v>31</v>
      </c>
      <c r="G968" t="s">
        <v>14</v>
      </c>
      <c r="H968" t="s">
        <v>15</v>
      </c>
      <c r="I968">
        <v>0</v>
      </c>
      <c r="J968" t="s">
        <v>26</v>
      </c>
      <c r="K968" t="s">
        <v>32</v>
      </c>
      <c r="L968">
        <v>33</v>
      </c>
      <c r="M968" t="str">
        <f t="shared" si="15"/>
        <v>Invalide</v>
      </c>
      <c r="N968" t="s">
        <v>15</v>
      </c>
    </row>
    <row r="969" spans="1:14" x14ac:dyDescent="0.25">
      <c r="A969">
        <v>19012</v>
      </c>
      <c r="B969" s="3"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s="3" t="s">
        <v>37</v>
      </c>
      <c r="C970" t="s">
        <v>39</v>
      </c>
      <c r="D970" s="4">
        <v>30000</v>
      </c>
      <c r="E970">
        <v>0</v>
      </c>
      <c r="F970" t="s">
        <v>29</v>
      </c>
      <c r="G970" t="s">
        <v>20</v>
      </c>
      <c r="H970" t="s">
        <v>18</v>
      </c>
      <c r="I970">
        <v>2</v>
      </c>
      <c r="J970" t="s">
        <v>23</v>
      </c>
      <c r="K970" t="s">
        <v>32</v>
      </c>
      <c r="L970">
        <v>27</v>
      </c>
      <c r="M970" t="str">
        <f t="shared" si="15"/>
        <v>Middle Age</v>
      </c>
      <c r="N970" t="s">
        <v>18</v>
      </c>
    </row>
    <row r="971" spans="1:14" x14ac:dyDescent="0.25">
      <c r="A971">
        <v>29037</v>
      </c>
      <c r="B971" s="3"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s="3"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s="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s="3" t="s">
        <v>36</v>
      </c>
      <c r="C974" t="s">
        <v>38</v>
      </c>
      <c r="D974" s="4">
        <v>30000</v>
      </c>
      <c r="E974">
        <v>1</v>
      </c>
      <c r="F974" t="s">
        <v>27</v>
      </c>
      <c r="G974" t="s">
        <v>20</v>
      </c>
      <c r="H974" t="s">
        <v>15</v>
      </c>
      <c r="I974">
        <v>1</v>
      </c>
      <c r="J974" t="s">
        <v>23</v>
      </c>
      <c r="K974" t="s">
        <v>32</v>
      </c>
      <c r="L974">
        <v>52</v>
      </c>
      <c r="M974" t="str">
        <f t="shared" si="15"/>
        <v>Old</v>
      </c>
      <c r="N974" t="s">
        <v>18</v>
      </c>
    </row>
    <row r="975" spans="1:14" x14ac:dyDescent="0.25">
      <c r="A975">
        <v>11734</v>
      </c>
      <c r="B975" s="3"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s="3" t="s">
        <v>36</v>
      </c>
      <c r="C976" t="s">
        <v>39</v>
      </c>
      <c r="D976" s="4">
        <v>70000</v>
      </c>
      <c r="E976">
        <v>3</v>
      </c>
      <c r="F976" t="s">
        <v>31</v>
      </c>
      <c r="G976" t="s">
        <v>28</v>
      </c>
      <c r="H976" t="s">
        <v>15</v>
      </c>
      <c r="I976">
        <v>2</v>
      </c>
      <c r="J976" t="s">
        <v>23</v>
      </c>
      <c r="K976" t="s">
        <v>32</v>
      </c>
      <c r="L976">
        <v>53</v>
      </c>
      <c r="M976" t="str">
        <f t="shared" si="15"/>
        <v>Old</v>
      </c>
      <c r="N976" t="s">
        <v>15</v>
      </c>
    </row>
    <row r="977" spans="1:14" x14ac:dyDescent="0.25">
      <c r="A977">
        <v>20659</v>
      </c>
      <c r="B977" s="3"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s="3" t="s">
        <v>36</v>
      </c>
      <c r="C978" t="s">
        <v>38</v>
      </c>
      <c r="D978" s="4">
        <v>60000</v>
      </c>
      <c r="E978">
        <v>3</v>
      </c>
      <c r="F978" t="s">
        <v>13</v>
      </c>
      <c r="G978" t="s">
        <v>28</v>
      </c>
      <c r="H978" t="s">
        <v>15</v>
      </c>
      <c r="I978">
        <v>2</v>
      </c>
      <c r="J978" t="s">
        <v>46</v>
      </c>
      <c r="K978" t="s">
        <v>32</v>
      </c>
      <c r="L978">
        <v>66</v>
      </c>
      <c r="M978" t="str">
        <f t="shared" si="15"/>
        <v>Old</v>
      </c>
      <c r="N978" t="s">
        <v>18</v>
      </c>
    </row>
    <row r="979" spans="1:14" x14ac:dyDescent="0.25">
      <c r="A979">
        <v>19741</v>
      </c>
      <c r="B979" s="3"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s="3"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s="3"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s="3"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25">
      <c r="A983">
        <v>15982</v>
      </c>
      <c r="B983" s="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s="3"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s="3"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s="3"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s="3"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s="3" t="s">
        <v>37</v>
      </c>
      <c r="C988" t="s">
        <v>39</v>
      </c>
      <c r="D988" s="4">
        <v>40000</v>
      </c>
      <c r="E988">
        <v>5</v>
      </c>
      <c r="F988" t="s">
        <v>27</v>
      </c>
      <c r="G988" t="s">
        <v>21</v>
      </c>
      <c r="H988" t="s">
        <v>15</v>
      </c>
      <c r="I988">
        <v>4</v>
      </c>
      <c r="J988" t="s">
        <v>46</v>
      </c>
      <c r="K988" t="s">
        <v>32</v>
      </c>
      <c r="L988">
        <v>60</v>
      </c>
      <c r="M988" t="str">
        <f t="shared" si="15"/>
        <v>Old</v>
      </c>
      <c r="N988" t="s">
        <v>15</v>
      </c>
    </row>
    <row r="989" spans="1:14" x14ac:dyDescent="0.25">
      <c r="A989">
        <v>28972</v>
      </c>
      <c r="B989" s="3" t="s">
        <v>37</v>
      </c>
      <c r="C989" t="s">
        <v>38</v>
      </c>
      <c r="D989" s="4">
        <v>60000</v>
      </c>
      <c r="E989">
        <v>3</v>
      </c>
      <c r="F989" t="s">
        <v>31</v>
      </c>
      <c r="G989" t="s">
        <v>28</v>
      </c>
      <c r="H989" t="s">
        <v>15</v>
      </c>
      <c r="I989">
        <v>2</v>
      </c>
      <c r="J989" t="s">
        <v>46</v>
      </c>
      <c r="K989" t="s">
        <v>32</v>
      </c>
      <c r="L989">
        <v>66</v>
      </c>
      <c r="M989" t="str">
        <f t="shared" si="15"/>
        <v>Old</v>
      </c>
      <c r="N989" t="s">
        <v>18</v>
      </c>
    </row>
    <row r="990" spans="1:14" x14ac:dyDescent="0.25">
      <c r="A990">
        <v>22730</v>
      </c>
      <c r="B990" s="3" t="s">
        <v>36</v>
      </c>
      <c r="C990" t="s">
        <v>39</v>
      </c>
      <c r="D990" s="4">
        <v>70000</v>
      </c>
      <c r="E990">
        <v>5</v>
      </c>
      <c r="F990" t="s">
        <v>13</v>
      </c>
      <c r="G990" t="s">
        <v>28</v>
      </c>
      <c r="H990" t="s">
        <v>15</v>
      </c>
      <c r="I990">
        <v>2</v>
      </c>
      <c r="J990" t="s">
        <v>46</v>
      </c>
      <c r="K990" t="s">
        <v>32</v>
      </c>
      <c r="L990">
        <v>63</v>
      </c>
      <c r="M990" t="str">
        <f t="shared" si="15"/>
        <v>Old</v>
      </c>
      <c r="N990" t="s">
        <v>18</v>
      </c>
    </row>
    <row r="991" spans="1:14" x14ac:dyDescent="0.25">
      <c r="A991">
        <v>29134</v>
      </c>
      <c r="B991" s="3"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25">
      <c r="A992">
        <v>14332</v>
      </c>
      <c r="B992" s="3" t="s">
        <v>37</v>
      </c>
      <c r="C992" t="s">
        <v>38</v>
      </c>
      <c r="D992" s="4">
        <v>30000</v>
      </c>
      <c r="E992">
        <v>0</v>
      </c>
      <c r="F992" t="s">
        <v>27</v>
      </c>
      <c r="G992" t="s">
        <v>14</v>
      </c>
      <c r="H992" t="s">
        <v>18</v>
      </c>
      <c r="I992">
        <v>2</v>
      </c>
      <c r="J992" t="s">
        <v>23</v>
      </c>
      <c r="K992" t="s">
        <v>32</v>
      </c>
      <c r="L992">
        <v>26</v>
      </c>
      <c r="M992" t="str">
        <f t="shared" si="15"/>
        <v>Middle Age</v>
      </c>
      <c r="N992" t="s">
        <v>18</v>
      </c>
    </row>
    <row r="993" spans="1:14" x14ac:dyDescent="0.25">
      <c r="A993">
        <v>19117</v>
      </c>
      <c r="B993" s="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s="3"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s="3"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s="3"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s="3" t="s">
        <v>36</v>
      </c>
      <c r="C997" t="s">
        <v>39</v>
      </c>
      <c r="D997" s="4">
        <v>60000</v>
      </c>
      <c r="E997" s="2">
        <v>2</v>
      </c>
      <c r="F997" t="s">
        <v>27</v>
      </c>
      <c r="G997" t="s">
        <v>21</v>
      </c>
      <c r="H997" t="s">
        <v>15</v>
      </c>
      <c r="I997">
        <v>2</v>
      </c>
      <c r="J997" t="s">
        <v>22</v>
      </c>
      <c r="K997" t="s">
        <v>32</v>
      </c>
      <c r="L997">
        <v>54</v>
      </c>
      <c r="M997" t="str">
        <f t="shared" si="15"/>
        <v>Old</v>
      </c>
      <c r="N997" t="s">
        <v>15</v>
      </c>
    </row>
    <row r="998" spans="1:14" x14ac:dyDescent="0.25">
      <c r="A998">
        <v>28672</v>
      </c>
      <c r="B998" s="3"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s="3"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s="3" t="s">
        <v>37</v>
      </c>
      <c r="C1000" t="s">
        <v>39</v>
      </c>
      <c r="D1000" s="4">
        <v>100000</v>
      </c>
      <c r="E1000">
        <v>3</v>
      </c>
      <c r="F1000" t="s">
        <v>13</v>
      </c>
      <c r="G1000" t="s">
        <v>28</v>
      </c>
      <c r="H1000" t="s">
        <v>18</v>
      </c>
      <c r="I1000">
        <v>3</v>
      </c>
      <c r="J1000" t="s">
        <v>26</v>
      </c>
      <c r="K1000" t="s">
        <v>32</v>
      </c>
      <c r="L1000">
        <v>38</v>
      </c>
      <c r="M1000" t="str">
        <f t="shared" si="15"/>
        <v>Invalide</v>
      </c>
      <c r="N1000" t="s">
        <v>18</v>
      </c>
    </row>
    <row r="1001" spans="1:14" x14ac:dyDescent="0.25">
      <c r="A1001">
        <v>12121</v>
      </c>
      <c r="B1001" s="3" t="s">
        <v>37</v>
      </c>
      <c r="C1001" t="s">
        <v>39</v>
      </c>
      <c r="D1001" s="4">
        <v>60000</v>
      </c>
      <c r="E1001">
        <v>3</v>
      </c>
      <c r="F1001" t="s">
        <v>27</v>
      </c>
      <c r="G1001" t="s">
        <v>21</v>
      </c>
      <c r="H1001" t="s">
        <v>15</v>
      </c>
      <c r="I1001">
        <v>2</v>
      </c>
      <c r="J1001" t="s">
        <v>46</v>
      </c>
      <c r="K1001" t="s">
        <v>32</v>
      </c>
      <c r="L1001">
        <v>53</v>
      </c>
      <c r="M1001" t="str">
        <f t="shared" si="15"/>
        <v>Old</v>
      </c>
      <c r="N1001" t="s">
        <v>15</v>
      </c>
    </row>
    <row r="1002" spans="1:14" x14ac:dyDescent="0.25">
      <c r="B1002"/>
    </row>
    <row r="1003" spans="1:14" x14ac:dyDescent="0.25">
      <c r="B1003"/>
    </row>
    <row r="1004" spans="1:14" x14ac:dyDescent="0.25">
      <c r="B1004"/>
    </row>
    <row r="1005" spans="1:14" x14ac:dyDescent="0.25">
      <c r="B1005"/>
    </row>
    <row r="1006" spans="1:14" x14ac:dyDescent="0.25">
      <c r="B1006"/>
    </row>
    <row r="1007" spans="1:14" x14ac:dyDescent="0.25">
      <c r="B1007"/>
    </row>
    <row r="1008" spans="1:14"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9"/>
  <sheetViews>
    <sheetView topLeftCell="A43" workbookViewId="0">
      <selection activeCell="D81" sqref="D81"/>
    </sheetView>
  </sheetViews>
  <sheetFormatPr defaultRowHeight="15" x14ac:dyDescent="0.25"/>
  <cols>
    <col min="1" max="1" width="23.85546875" customWidth="1"/>
    <col min="2" max="2" width="16.28515625" customWidth="1"/>
    <col min="3" max="3" width="4.140625" customWidth="1"/>
    <col min="4" max="4" width="11.28515625" customWidth="1"/>
    <col min="5" max="5" width="23.85546875" bestFit="1" customWidth="1"/>
    <col min="6" max="6" width="27.85546875" bestFit="1" customWidth="1"/>
    <col min="7" max="7" width="28.85546875" bestFit="1" customWidth="1"/>
  </cols>
  <sheetData>
    <row r="3" spans="1:4" x14ac:dyDescent="0.25">
      <c r="A3" s="6" t="s">
        <v>43</v>
      </c>
      <c r="B3" s="6" t="s">
        <v>44</v>
      </c>
    </row>
    <row r="4" spans="1:4" x14ac:dyDescent="0.25">
      <c r="A4" s="6" t="s">
        <v>41</v>
      </c>
      <c r="B4" t="s">
        <v>18</v>
      </c>
      <c r="C4" t="s">
        <v>15</v>
      </c>
      <c r="D4" t="s">
        <v>42</v>
      </c>
    </row>
    <row r="5" spans="1:4" x14ac:dyDescent="0.25">
      <c r="A5" s="3" t="s">
        <v>38</v>
      </c>
      <c r="B5" s="5">
        <v>66428.571428571435</v>
      </c>
      <c r="C5" s="5">
        <v>66000</v>
      </c>
      <c r="D5" s="5">
        <v>66206.896551724145</v>
      </c>
    </row>
    <row r="6" spans="1:4" x14ac:dyDescent="0.25">
      <c r="A6" s="3" t="s">
        <v>39</v>
      </c>
      <c r="B6" s="5">
        <v>75384.61538461539</v>
      </c>
      <c r="C6" s="5">
        <v>70625</v>
      </c>
      <c r="D6" s="5">
        <v>73571.428571428565</v>
      </c>
    </row>
    <row r="7" spans="1:4" x14ac:dyDescent="0.25">
      <c r="A7" s="3" t="s">
        <v>42</v>
      </c>
      <c r="B7" s="5">
        <v>72250</v>
      </c>
      <c r="C7" s="5">
        <v>68387.096774193546</v>
      </c>
      <c r="D7" s="5">
        <v>70563.380281690144</v>
      </c>
    </row>
    <row r="23" spans="1:4" x14ac:dyDescent="0.25">
      <c r="A23" s="6" t="s">
        <v>45</v>
      </c>
      <c r="B23" s="6" t="s">
        <v>44</v>
      </c>
    </row>
    <row r="24" spans="1:4" x14ac:dyDescent="0.25">
      <c r="A24" s="6" t="s">
        <v>41</v>
      </c>
      <c r="B24" t="s">
        <v>18</v>
      </c>
      <c r="C24" t="s">
        <v>15</v>
      </c>
      <c r="D24" t="s">
        <v>42</v>
      </c>
    </row>
    <row r="25" spans="1:4" x14ac:dyDescent="0.25">
      <c r="A25" s="3" t="s">
        <v>16</v>
      </c>
      <c r="B25" s="5">
        <v>18</v>
      </c>
      <c r="C25" s="5">
        <v>13</v>
      </c>
      <c r="D25" s="5">
        <v>31</v>
      </c>
    </row>
    <row r="26" spans="1:4" x14ac:dyDescent="0.25">
      <c r="A26" s="3" t="s">
        <v>26</v>
      </c>
      <c r="B26" s="5">
        <v>7</v>
      </c>
      <c r="C26" s="5">
        <v>5</v>
      </c>
      <c r="D26" s="5">
        <v>12</v>
      </c>
    </row>
    <row r="27" spans="1:4" x14ac:dyDescent="0.25">
      <c r="A27" s="3" t="s">
        <v>22</v>
      </c>
      <c r="B27" s="5">
        <v>4</v>
      </c>
      <c r="C27" s="5">
        <v>12</v>
      </c>
      <c r="D27" s="5">
        <v>16</v>
      </c>
    </row>
    <row r="28" spans="1:4" x14ac:dyDescent="0.25">
      <c r="A28" s="3" t="s">
        <v>23</v>
      </c>
      <c r="B28" s="5">
        <v>7</v>
      </c>
      <c r="C28" s="5">
        <v>1</v>
      </c>
      <c r="D28" s="5">
        <v>8</v>
      </c>
    </row>
    <row r="29" spans="1:4" x14ac:dyDescent="0.25">
      <c r="A29" s="3" t="s">
        <v>46</v>
      </c>
      <c r="B29" s="5">
        <v>4</v>
      </c>
      <c r="C29" s="5"/>
      <c r="D29" s="5">
        <v>4</v>
      </c>
    </row>
    <row r="30" spans="1:4" x14ac:dyDescent="0.25">
      <c r="A30" s="3" t="s">
        <v>42</v>
      </c>
      <c r="B30" s="5">
        <v>40</v>
      </c>
      <c r="C30" s="5">
        <v>31</v>
      </c>
      <c r="D30" s="5">
        <v>71</v>
      </c>
    </row>
    <row r="50" spans="1:4" x14ac:dyDescent="0.25">
      <c r="A50" s="6" t="s">
        <v>50</v>
      </c>
      <c r="B50" s="6" t="s">
        <v>44</v>
      </c>
    </row>
    <row r="51" spans="1:4" x14ac:dyDescent="0.25">
      <c r="A51" s="6" t="s">
        <v>41</v>
      </c>
      <c r="B51" t="s">
        <v>18</v>
      </c>
      <c r="C51" t="s">
        <v>15</v>
      </c>
      <c r="D51" t="s">
        <v>42</v>
      </c>
    </row>
    <row r="52" spans="1:4" x14ac:dyDescent="0.25">
      <c r="A52" s="3" t="s">
        <v>47</v>
      </c>
      <c r="B52" s="5">
        <v>2</v>
      </c>
      <c r="C52" s="5">
        <v>5</v>
      </c>
      <c r="D52" s="5">
        <v>7</v>
      </c>
    </row>
    <row r="53" spans="1:4" x14ac:dyDescent="0.25">
      <c r="A53" s="3" t="s">
        <v>48</v>
      </c>
      <c r="B53" s="5">
        <v>23</v>
      </c>
      <c r="C53" s="5">
        <v>24</v>
      </c>
      <c r="D53" s="5">
        <v>47</v>
      </c>
    </row>
    <row r="54" spans="1:4" x14ac:dyDescent="0.25">
      <c r="A54" s="3" t="s">
        <v>49</v>
      </c>
      <c r="B54" s="5">
        <v>15</v>
      </c>
      <c r="C54" s="5">
        <v>2</v>
      </c>
      <c r="D54" s="5">
        <v>17</v>
      </c>
    </row>
    <row r="55" spans="1:4" x14ac:dyDescent="0.25">
      <c r="A55" s="3" t="s">
        <v>42</v>
      </c>
      <c r="B55" s="5">
        <v>40</v>
      </c>
      <c r="C55" s="5">
        <v>31</v>
      </c>
      <c r="D55" s="5">
        <v>71</v>
      </c>
    </row>
    <row r="79" spans="1:4" x14ac:dyDescent="0.25">
      <c r="A79" s="6" t="s">
        <v>50</v>
      </c>
      <c r="B79" s="6" t="s">
        <v>44</v>
      </c>
    </row>
    <row r="80" spans="1:4" x14ac:dyDescent="0.25">
      <c r="A80" s="6" t="s">
        <v>41</v>
      </c>
      <c r="B80" t="s">
        <v>18</v>
      </c>
      <c r="C80" t="s">
        <v>15</v>
      </c>
      <c r="D80" t="s">
        <v>42</v>
      </c>
    </row>
    <row r="81" spans="1:4" x14ac:dyDescent="0.25">
      <c r="A81" s="3">
        <v>26</v>
      </c>
      <c r="B81" s="5">
        <v>1</v>
      </c>
      <c r="C81" s="5"/>
      <c r="D81" s="5">
        <v>1</v>
      </c>
    </row>
    <row r="82" spans="1:4" x14ac:dyDescent="0.25">
      <c r="A82" s="3">
        <v>27</v>
      </c>
      <c r="B82" s="5">
        <v>5</v>
      </c>
      <c r="C82" s="5">
        <v>2</v>
      </c>
      <c r="D82" s="5">
        <v>7</v>
      </c>
    </row>
    <row r="83" spans="1:4" x14ac:dyDescent="0.25">
      <c r="A83" s="3">
        <v>28</v>
      </c>
      <c r="B83" s="5">
        <v>4</v>
      </c>
      <c r="C83" s="5">
        <v>3</v>
      </c>
      <c r="D83" s="5">
        <v>7</v>
      </c>
    </row>
    <row r="84" spans="1:4" x14ac:dyDescent="0.25">
      <c r="A84" s="3">
        <v>29</v>
      </c>
      <c r="B84" s="5">
        <v>4</v>
      </c>
      <c r="C84" s="5"/>
      <c r="D84" s="5">
        <v>4</v>
      </c>
    </row>
    <row r="85" spans="1:4" x14ac:dyDescent="0.25">
      <c r="A85" s="3">
        <v>30</v>
      </c>
      <c r="B85" s="5">
        <v>5</v>
      </c>
      <c r="C85" s="5"/>
      <c r="D85" s="5">
        <v>5</v>
      </c>
    </row>
    <row r="86" spans="1:4" x14ac:dyDescent="0.25">
      <c r="A86" s="3">
        <v>31</v>
      </c>
      <c r="B86" s="5">
        <v>5</v>
      </c>
      <c r="C86" s="5"/>
      <c r="D86" s="5">
        <v>5</v>
      </c>
    </row>
    <row r="87" spans="1:4" x14ac:dyDescent="0.25">
      <c r="A87" s="3">
        <v>32</v>
      </c>
      <c r="B87" s="5">
        <v>6</v>
      </c>
      <c r="C87" s="5">
        <v>3</v>
      </c>
      <c r="D87" s="5">
        <v>9</v>
      </c>
    </row>
    <row r="88" spans="1:4" x14ac:dyDescent="0.25">
      <c r="A88" s="3">
        <v>33</v>
      </c>
      <c r="B88" s="5">
        <v>2</v>
      </c>
      <c r="C88" s="5">
        <v>3</v>
      </c>
      <c r="D88" s="5">
        <v>5</v>
      </c>
    </row>
    <row r="89" spans="1:4" x14ac:dyDescent="0.25">
      <c r="A89" s="3">
        <v>34</v>
      </c>
      <c r="B89" s="5">
        <v>4</v>
      </c>
      <c r="C89" s="5">
        <v>9</v>
      </c>
      <c r="D89" s="5">
        <v>13</v>
      </c>
    </row>
    <row r="90" spans="1:4" x14ac:dyDescent="0.25">
      <c r="A90" s="3">
        <v>35</v>
      </c>
      <c r="B90" s="5">
        <v>3</v>
      </c>
      <c r="C90" s="5">
        <v>7</v>
      </c>
      <c r="D90" s="5">
        <v>10</v>
      </c>
    </row>
    <row r="91" spans="1:4" x14ac:dyDescent="0.25">
      <c r="A91" s="3">
        <v>36</v>
      </c>
      <c r="B91" s="5">
        <v>2</v>
      </c>
      <c r="C91" s="5">
        <v>6</v>
      </c>
      <c r="D91" s="5">
        <v>8</v>
      </c>
    </row>
    <row r="92" spans="1:4" x14ac:dyDescent="0.25">
      <c r="A92" s="3">
        <v>37</v>
      </c>
      <c r="B92" s="5">
        <v>1</v>
      </c>
      <c r="C92" s="5">
        <v>2</v>
      </c>
      <c r="D92" s="5">
        <v>3</v>
      </c>
    </row>
    <row r="93" spans="1:4" x14ac:dyDescent="0.25">
      <c r="A93" s="3">
        <v>38</v>
      </c>
      <c r="B93" s="5">
        <v>2</v>
      </c>
      <c r="C93" s="5">
        <v>2</v>
      </c>
      <c r="D93" s="5">
        <v>4</v>
      </c>
    </row>
    <row r="94" spans="1:4" x14ac:dyDescent="0.25">
      <c r="A94" s="3">
        <v>39</v>
      </c>
      <c r="B94" s="5">
        <v>3</v>
      </c>
      <c r="C94" s="5">
        <v>1</v>
      </c>
      <c r="D94" s="5">
        <v>4</v>
      </c>
    </row>
    <row r="95" spans="1:4" x14ac:dyDescent="0.25">
      <c r="A95" s="3">
        <v>40</v>
      </c>
      <c r="B95" s="5">
        <v>8</v>
      </c>
      <c r="C95" s="5">
        <v>2</v>
      </c>
      <c r="D95" s="5">
        <v>10</v>
      </c>
    </row>
    <row r="96" spans="1:4" x14ac:dyDescent="0.25">
      <c r="A96" s="3">
        <v>41</v>
      </c>
      <c r="B96" s="5">
        <v>7</v>
      </c>
      <c r="C96" s="5">
        <v>1</v>
      </c>
      <c r="D96" s="5">
        <v>8</v>
      </c>
    </row>
    <row r="97" spans="1:4" x14ac:dyDescent="0.25">
      <c r="A97" s="3">
        <v>42</v>
      </c>
      <c r="B97" s="5">
        <v>7</v>
      </c>
      <c r="C97" s="5">
        <v>3</v>
      </c>
      <c r="D97" s="5">
        <v>10</v>
      </c>
    </row>
    <row r="98" spans="1:4" x14ac:dyDescent="0.25">
      <c r="A98" s="3">
        <v>43</v>
      </c>
      <c r="B98" s="5">
        <v>3</v>
      </c>
      <c r="C98" s="5">
        <v>3</v>
      </c>
      <c r="D98" s="5">
        <v>6</v>
      </c>
    </row>
    <row r="99" spans="1:4" x14ac:dyDescent="0.25">
      <c r="A99" s="3">
        <v>44</v>
      </c>
      <c r="B99" s="5">
        <v>4</v>
      </c>
      <c r="C99" s="5">
        <v>6</v>
      </c>
      <c r="D99" s="5">
        <v>10</v>
      </c>
    </row>
    <row r="100" spans="1:4" x14ac:dyDescent="0.25">
      <c r="A100" s="3">
        <v>45</v>
      </c>
      <c r="B100" s="5">
        <v>7</v>
      </c>
      <c r="C100" s="5">
        <v>6</v>
      </c>
      <c r="D100" s="5">
        <v>13</v>
      </c>
    </row>
    <row r="101" spans="1:4" x14ac:dyDescent="0.25">
      <c r="A101" s="3">
        <v>46</v>
      </c>
      <c r="B101" s="5">
        <v>6</v>
      </c>
      <c r="C101" s="5">
        <v>3</v>
      </c>
      <c r="D101" s="5">
        <v>9</v>
      </c>
    </row>
    <row r="102" spans="1:4" x14ac:dyDescent="0.25">
      <c r="A102" s="3">
        <v>47</v>
      </c>
      <c r="B102" s="5">
        <v>9</v>
      </c>
      <c r="C102" s="5">
        <v>4</v>
      </c>
      <c r="D102" s="5">
        <v>13</v>
      </c>
    </row>
    <row r="103" spans="1:4" x14ac:dyDescent="0.25">
      <c r="A103" s="3">
        <v>48</v>
      </c>
      <c r="B103" s="5">
        <v>5</v>
      </c>
      <c r="C103" s="5">
        <v>9</v>
      </c>
      <c r="D103" s="5">
        <v>14</v>
      </c>
    </row>
    <row r="104" spans="1:4" x14ac:dyDescent="0.25">
      <c r="A104" s="3">
        <v>49</v>
      </c>
      <c r="B104" s="5">
        <v>8</v>
      </c>
      <c r="C104" s="5">
        <v>5</v>
      </c>
      <c r="D104" s="5">
        <v>13</v>
      </c>
    </row>
    <row r="105" spans="1:4" x14ac:dyDescent="0.25">
      <c r="A105" s="3">
        <v>50</v>
      </c>
      <c r="B105" s="5">
        <v>4</v>
      </c>
      <c r="C105" s="5">
        <v>2</v>
      </c>
      <c r="D105" s="5">
        <v>6</v>
      </c>
    </row>
    <row r="106" spans="1:4" x14ac:dyDescent="0.25">
      <c r="A106" s="3">
        <v>51</v>
      </c>
      <c r="B106" s="5">
        <v>4</v>
      </c>
      <c r="C106" s="5">
        <v>3</v>
      </c>
      <c r="D106" s="5">
        <v>7</v>
      </c>
    </row>
    <row r="107" spans="1:4" x14ac:dyDescent="0.25">
      <c r="A107" s="3">
        <v>52</v>
      </c>
      <c r="B107" s="5">
        <v>3</v>
      </c>
      <c r="C107" s="5">
        <v>3</v>
      </c>
      <c r="D107" s="5">
        <v>6</v>
      </c>
    </row>
    <row r="108" spans="1:4" x14ac:dyDescent="0.25">
      <c r="A108" s="3">
        <v>53</v>
      </c>
      <c r="B108" s="5">
        <v>7</v>
      </c>
      <c r="C108" s="5">
        <v>3</v>
      </c>
      <c r="D108" s="5">
        <v>10</v>
      </c>
    </row>
    <row r="109" spans="1:4" x14ac:dyDescent="0.25">
      <c r="A109" s="3">
        <v>54</v>
      </c>
      <c r="B109" s="5">
        <v>2</v>
      </c>
      <c r="C109" s="5">
        <v>3</v>
      </c>
      <c r="D109" s="5">
        <v>5</v>
      </c>
    </row>
    <row r="110" spans="1:4" x14ac:dyDescent="0.25">
      <c r="A110" s="3">
        <v>55</v>
      </c>
      <c r="B110" s="5">
        <v>8</v>
      </c>
      <c r="C110" s="5">
        <v>1</v>
      </c>
      <c r="D110" s="5">
        <v>9</v>
      </c>
    </row>
    <row r="111" spans="1:4" x14ac:dyDescent="0.25">
      <c r="A111" s="3">
        <v>56</v>
      </c>
      <c r="B111" s="5">
        <v>5</v>
      </c>
      <c r="C111" s="5">
        <v>1</v>
      </c>
      <c r="D111" s="5">
        <v>6</v>
      </c>
    </row>
    <row r="112" spans="1:4" x14ac:dyDescent="0.25">
      <c r="A112" s="3">
        <v>57</v>
      </c>
      <c r="B112" s="5"/>
      <c r="C112" s="5">
        <v>4</v>
      </c>
      <c r="D112" s="5">
        <v>4</v>
      </c>
    </row>
    <row r="113" spans="1:4" x14ac:dyDescent="0.25">
      <c r="A113" s="3">
        <v>58</v>
      </c>
      <c r="B113" s="5">
        <v>2</v>
      </c>
      <c r="C113" s="5"/>
      <c r="D113" s="5">
        <v>2</v>
      </c>
    </row>
    <row r="114" spans="1:4" x14ac:dyDescent="0.25">
      <c r="A114" s="3">
        <v>59</v>
      </c>
      <c r="B114" s="5">
        <v>9</v>
      </c>
      <c r="C114" s="5">
        <v>1</v>
      </c>
      <c r="D114" s="5">
        <v>10</v>
      </c>
    </row>
    <row r="115" spans="1:4" x14ac:dyDescent="0.25">
      <c r="A115" s="3">
        <v>60</v>
      </c>
      <c r="B115" s="5">
        <v>5</v>
      </c>
      <c r="C115" s="5"/>
      <c r="D115" s="5">
        <v>5</v>
      </c>
    </row>
    <row r="116" spans="1:4" x14ac:dyDescent="0.25">
      <c r="A116" s="3">
        <v>61</v>
      </c>
      <c r="B116" s="5">
        <v>3</v>
      </c>
      <c r="C116" s="5">
        <v>1</v>
      </c>
      <c r="D116" s="5">
        <v>4</v>
      </c>
    </row>
    <row r="117" spans="1:4" x14ac:dyDescent="0.25">
      <c r="A117" s="3">
        <v>62</v>
      </c>
      <c r="B117" s="5">
        <v>1</v>
      </c>
      <c r="C117" s="5"/>
      <c r="D117" s="5">
        <v>1</v>
      </c>
    </row>
    <row r="118" spans="1:4" x14ac:dyDescent="0.25">
      <c r="A118" s="3">
        <v>63</v>
      </c>
      <c r="B118" s="5">
        <v>4</v>
      </c>
      <c r="C118" s="5">
        <v>1</v>
      </c>
      <c r="D118" s="5">
        <v>5</v>
      </c>
    </row>
    <row r="119" spans="1:4" x14ac:dyDescent="0.25">
      <c r="A119" s="3">
        <v>64</v>
      </c>
      <c r="B119" s="5">
        <v>6</v>
      </c>
      <c r="C119" s="5">
        <v>1</v>
      </c>
      <c r="D119" s="5">
        <v>7</v>
      </c>
    </row>
    <row r="120" spans="1:4" x14ac:dyDescent="0.25">
      <c r="A120" s="3">
        <v>65</v>
      </c>
      <c r="B120" s="5">
        <v>1</v>
      </c>
      <c r="C120" s="5"/>
      <c r="D120" s="5">
        <v>1</v>
      </c>
    </row>
    <row r="121" spans="1:4" x14ac:dyDescent="0.25">
      <c r="A121" s="3">
        <v>66</v>
      </c>
      <c r="B121" s="5">
        <v>4</v>
      </c>
      <c r="C121" s="5">
        <v>1</v>
      </c>
      <c r="D121" s="5">
        <v>5</v>
      </c>
    </row>
    <row r="122" spans="1:4" x14ac:dyDescent="0.25">
      <c r="A122" s="3">
        <v>67</v>
      </c>
      <c r="B122" s="5">
        <v>2</v>
      </c>
      <c r="C122" s="5"/>
      <c r="D122" s="5">
        <v>2</v>
      </c>
    </row>
    <row r="123" spans="1:4" x14ac:dyDescent="0.25">
      <c r="A123" s="3">
        <v>68</v>
      </c>
      <c r="B123" s="5">
        <v>1</v>
      </c>
      <c r="C123" s="5"/>
      <c r="D123" s="5">
        <v>1</v>
      </c>
    </row>
    <row r="124" spans="1:4" x14ac:dyDescent="0.25">
      <c r="A124" s="3">
        <v>69</v>
      </c>
      <c r="B124" s="5">
        <v>4</v>
      </c>
      <c r="C124" s="5"/>
      <c r="D124" s="5">
        <v>4</v>
      </c>
    </row>
    <row r="125" spans="1:4" x14ac:dyDescent="0.25">
      <c r="A125" s="3">
        <v>70</v>
      </c>
      <c r="B125" s="5">
        <v>2</v>
      </c>
      <c r="C125" s="5"/>
      <c r="D125" s="5">
        <v>2</v>
      </c>
    </row>
    <row r="126" spans="1:4" x14ac:dyDescent="0.25">
      <c r="A126" s="3">
        <v>71</v>
      </c>
      <c r="B126" s="5">
        <v>1</v>
      </c>
      <c r="C126" s="5"/>
      <c r="D126" s="5">
        <v>1</v>
      </c>
    </row>
    <row r="127" spans="1:4" x14ac:dyDescent="0.25">
      <c r="A127" s="3">
        <v>72</v>
      </c>
      <c r="B127" s="5"/>
      <c r="C127" s="5">
        <v>1</v>
      </c>
      <c r="D127" s="5">
        <v>1</v>
      </c>
    </row>
    <row r="128" spans="1:4" x14ac:dyDescent="0.25">
      <c r="A128" s="3">
        <v>73</v>
      </c>
      <c r="B128" s="5">
        <v>1</v>
      </c>
      <c r="C128" s="5">
        <v>1</v>
      </c>
      <c r="D128" s="5">
        <v>2</v>
      </c>
    </row>
    <row r="129" spans="1:4" x14ac:dyDescent="0.25">
      <c r="A129" s="3" t="s">
        <v>42</v>
      </c>
      <c r="B129" s="5">
        <v>190</v>
      </c>
      <c r="C129" s="5">
        <v>107</v>
      </c>
      <c r="D129" s="5">
        <v>297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showGridLines="0" tabSelected="1" workbookViewId="0">
      <selection activeCell="J39" sqref="J39"/>
    </sheetView>
  </sheetViews>
  <sheetFormatPr defaultRowHeight="15" x14ac:dyDescent="0.25"/>
  <sheetData>
    <row r="1" spans="1:9" x14ac:dyDescent="0.25">
      <c r="A1" s="7" t="s">
        <v>51</v>
      </c>
      <c r="B1" s="8"/>
      <c r="C1" s="8"/>
      <c r="D1" s="8"/>
      <c r="E1" s="8"/>
      <c r="F1" s="8"/>
      <c r="G1" s="8"/>
      <c r="H1" s="8"/>
      <c r="I1" s="8"/>
    </row>
    <row r="2" spans="1:9" x14ac:dyDescent="0.25">
      <c r="A2" s="8"/>
      <c r="B2" s="8"/>
      <c r="C2" s="8"/>
      <c r="D2" s="8"/>
      <c r="E2" s="8"/>
      <c r="F2" s="8"/>
      <c r="G2" s="8"/>
      <c r="H2" s="8"/>
      <c r="I2" s="8"/>
    </row>
    <row r="3" spans="1:9" x14ac:dyDescent="0.25">
      <c r="A3" s="8"/>
      <c r="B3" s="8"/>
      <c r="C3" s="8"/>
      <c r="D3" s="8"/>
      <c r="E3" s="8"/>
      <c r="F3" s="8"/>
      <c r="G3" s="8"/>
      <c r="H3" s="8"/>
      <c r="I3" s="8"/>
    </row>
    <row r="4" spans="1:9" x14ac:dyDescent="0.25">
      <c r="A4" s="8"/>
      <c r="B4" s="8"/>
      <c r="C4" s="8"/>
      <c r="D4" s="8"/>
      <c r="E4" s="8"/>
      <c r="F4" s="8"/>
      <c r="G4" s="8"/>
      <c r="H4" s="8"/>
      <c r="I4" s="8"/>
    </row>
  </sheetData>
  <mergeCells count="1">
    <mergeCell ref="A1:I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2026-08-03T16:51:58Z</dcterms:modified>
</cp:coreProperties>
</file>