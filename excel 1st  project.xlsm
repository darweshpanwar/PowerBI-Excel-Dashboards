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060" activeTab="4"/>
  </bookViews>
  <sheets>
    <sheet name="Break" sheetId="1" r:id="rId1"/>
    <sheet name="Efficiency" sheetId="2" r:id="rId2"/>
    <sheet name="OverAll Performance" sheetId="3" r:id="rId3"/>
    <sheet name="Summary" sheetId="6" r:id="rId4"/>
    <sheet name="Dashboard" sheetId="7" r:id="rId5"/>
  </sheets>
  <externalReferences>
    <externalReference r:id="rId6"/>
  </externalReferences>
  <definedNames>
    <definedName name="_Data">Efficiency!$A$1:$Q$150</definedName>
    <definedName name="BData">Break!$A:$I</definedName>
    <definedName name="EData">Efficiency!$A$1:$Q$150</definedName>
    <definedName name="PData">'OverAll Performance'!$A:$J</definedName>
    <definedName name="RData">Efficiency!$A:$Q</definedName>
    <definedName name="VData">Break!$A$1:$I$150</definedName>
  </definedNames>
  <calcPr calcId="145621" iterateCount="1000"/>
  <pivotCaches>
    <pivotCache cacheId="13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2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2" i="6"/>
  <c r="A147" i="6"/>
  <c r="A148" i="6"/>
  <c r="A149" i="6"/>
  <c r="A150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2" i="6"/>
</calcChain>
</file>

<file path=xl/sharedStrings.xml><?xml version="1.0" encoding="utf-8"?>
<sst xmlns="http://schemas.openxmlformats.org/spreadsheetml/2006/main" count="2439" uniqueCount="1012">
  <si>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</si>
  <si>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</si>
  <si>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</si>
  <si>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</si>
  <si>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</si>
  <si>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</si>
  <si>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</si>
  <si>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</si>
  <si>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</si>
  <si>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</si>
  <si>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</si>
  <si>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</si>
  <si>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</si>
  <si>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</si>
  <si>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</si>
  <si>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</si>
  <si>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</si>
  <si>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</si>
  <si>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</si>
  <si>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</si>
  <si>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</si>
  <si>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</si>
  <si>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</si>
  <si>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</si>
  <si>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</si>
  <si>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</si>
  <si>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</si>
  <si>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</si>
  <si>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</si>
  <si>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</si>
  <si>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</si>
  <si>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</si>
  <si>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</si>
  <si>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</si>
  <si>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</si>
  <si>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</si>
  <si>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</si>
  <si>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</si>
  <si>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</si>
  <si>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</si>
  <si>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</si>
  <si>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</si>
  <si>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</si>
  <si>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</si>
  <si>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</si>
  <si>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</si>
  <si>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</si>
  <si>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</si>
  <si>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</si>
  <si>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</si>
  <si>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</si>
  <si>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</si>
  <si>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</si>
  <si>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</si>
  <si>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</si>
  <si>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</si>
  <si>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</si>
  <si>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</si>
  <si>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</si>
  <si>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</si>
  <si>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</si>
  <si>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</si>
  <si>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</si>
  <si>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</si>
  <si>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</si>
  <si>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</si>
  <si>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</si>
  <si>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</si>
  <si>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</si>
  <si>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</si>
  <si>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</si>
  <si>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</si>
  <si>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</si>
  <si>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</si>
  <si>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</si>
  <si>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</si>
  <si>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</si>
  <si>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</si>
  <si>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</si>
  <si>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</si>
  <si>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</si>
  <si>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</si>
  <si>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</si>
  <si>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</si>
  <si>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</si>
  <si>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</si>
  <si>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</si>
  <si>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</si>
  <si>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</si>
  <si>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</si>
  <si>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</si>
  <si>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</si>
  <si>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</si>
  <si>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</si>
  <si>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</si>
  <si>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</si>
  <si>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</si>
  <si>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</si>
  <si>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</si>
  <si>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</si>
  <si>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</si>
  <si>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</si>
  <si>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</si>
  <si>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</si>
  <si>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</si>
  <si>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</si>
  <si>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</si>
  <si>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</si>
  <si>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</si>
  <si>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</si>
  <si>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</si>
  <si>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</si>
  <si>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</si>
  <si>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</si>
  <si>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</si>
  <si>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</si>
  <si>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</si>
  <si>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</si>
  <si>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</si>
  <si>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</si>
  <si>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</si>
  <si>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</si>
  <si>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</si>
  <si>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</si>
  <si>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</si>
  <si>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</si>
  <si>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</si>
  <si>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</si>
  <si>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</si>
  <si>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</si>
  <si>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</si>
  <si>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</si>
  <si>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</si>
  <si>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</si>
  <si>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</si>
  <si>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</si>
  <si>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</si>
  <si>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</si>
  <si>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</si>
  <si>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</si>
  <si>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</si>
  <si>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</si>
  <si>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</si>
  <si>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</si>
  <si>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</si>
  <si>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</si>
  <si>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</si>
  <si>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</si>
  <si>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</si>
  <si>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</si>
  <si>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</si>
  <si>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</si>
  <si>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</si>
  <si>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</si>
  <si>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</si>
  <si>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</si>
  <si>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</si>
  <si>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</si>
  <si>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</si>
  <si>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</si>
  <si>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</si>
  <si>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</si>
  <si>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</si>
  <si>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</si>
  <si>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</si>
  <si>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</si>
  <si>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</si>
  <si>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</si>
  <si>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</si>
  <si>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</si>
  <si>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</si>
  <si>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</si>
  <si>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</si>
  <si>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</si>
  <si>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</si>
  <si>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</si>
  <si>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</si>
  <si>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</si>
  <si>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</si>
  <si>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</si>
  <si>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</si>
  <si>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</si>
  <si>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</si>
  <si>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</si>
  <si>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</si>
  <si>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</si>
  <si>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</si>
  <si>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</si>
  <si>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</si>
  <si>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</si>
  <si>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</si>
  <si>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</si>
  <si>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</si>
  <si>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</si>
  <si>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</si>
  <si>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</si>
  <si>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</si>
  <si>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</si>
  <si>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</si>
  <si>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</si>
  <si>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</si>
  <si>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</si>
  <si>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</si>
  <si>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</si>
  <si>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</si>
  <si>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</si>
  <si>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</si>
  <si>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</si>
  <si>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</si>
  <si>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</si>
  <si>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</si>
  <si>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</si>
  <si>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</si>
  <si>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</si>
  <si>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</si>
  <si>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</si>
  <si>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</si>
  <si>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</si>
  <si>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</si>
  <si>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</si>
  <si>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</si>
  <si>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</si>
  <si>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</si>
  <si>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</si>
  <si>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</si>
  <si>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</si>
  <si>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</si>
  <si>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</si>
  <si>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</si>
  <si>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</si>
  <si>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</si>
  <si>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</si>
  <si>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</si>
  <si>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</si>
  <si>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</si>
  <si>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</si>
  <si>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</si>
  <si>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</si>
  <si>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</si>
  <si>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</si>
  <si>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</si>
  <si>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</si>
  <si>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</si>
  <si>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</si>
  <si>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</si>
  <si>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</si>
  <si>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</si>
  <si>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</si>
  <si>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</si>
  <si>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</si>
  <si>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</si>
  <si>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</si>
  <si>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</si>
  <si>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</si>
  <si>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</si>
  <si>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</si>
  <si>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</si>
  <si>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</si>
  <si>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</si>
  <si>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</si>
  <si>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</si>
  <si>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</si>
  <si>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</si>
  <si>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</si>
  <si>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</si>
  <si>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</si>
  <si>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</si>
  <si>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</si>
  <si>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</si>
  <si>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</si>
  <si>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</si>
  <si>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</si>
  <si>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</si>
  <si>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</si>
  <si>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</si>
  <si>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</si>
  <si>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</si>
  <si>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</si>
  <si>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</si>
  <si>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</si>
  <si>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</si>
  <si>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</si>
  <si>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</si>
  <si>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</si>
  <si>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</si>
  <si>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</si>
  <si>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</si>
  <si>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</si>
  <si>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</si>
  <si>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</si>
  <si>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</si>
  <si>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</si>
  <si>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</si>
  <si>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</si>
  <si>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</si>
  <si>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</si>
  <si>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</si>
  <si>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</si>
  <si>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</si>
  <si>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</si>
  <si>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</si>
  <si>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</si>
  <si>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</si>
  <si>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</si>
  <si>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</si>
  <si>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</si>
  <si>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</si>
  <si>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</si>
  <si>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</si>
  <si>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</si>
  <si>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</si>
  <si>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</si>
  <si>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</si>
  <si>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</si>
  <si>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</si>
  <si>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</si>
  <si>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</si>
  <si>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</si>
  <si>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</si>
  <si>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</si>
  <si>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</si>
  <si>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</si>
  <si>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</si>
  <si>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</si>
  <si>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</si>
  <si>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</si>
  <si>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</si>
  <si>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</si>
  <si>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</si>
  <si>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</si>
  <si>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</si>
  <si>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</si>
  <si>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</si>
  <si>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</si>
  <si>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</si>
  <si>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</si>
  <si>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</si>
  <si>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</si>
  <si>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</si>
  <si>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</si>
  <si>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</si>
  <si>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</si>
  <si>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</si>
  <si>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</si>
  <si>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</si>
  <si>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</si>
  <si>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</si>
  <si>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</si>
  <si>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</si>
  <si>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</si>
  <si>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</si>
  <si>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</si>
  <si>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</si>
  <si>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</si>
  <si>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</si>
  <si>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</si>
  <si>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</si>
  <si>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</si>
  <si>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</si>
  <si>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</si>
  <si>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</si>
  <si>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</si>
  <si>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</si>
  <si>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</si>
  <si>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</si>
  <si>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</si>
  <si>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</si>
  <si>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</si>
  <si>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</si>
  <si>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</si>
  <si>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</si>
  <si>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</si>
  <si>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</si>
  <si>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</si>
  <si>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</si>
  <si>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</si>
  <si>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</si>
  <si>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</si>
  <si>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</si>
  <si>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</si>
  <si>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</si>
  <si>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</si>
  <si>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</si>
  <si>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</si>
  <si>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</si>
  <si>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</si>
  <si>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</si>
  <si>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</si>
  <si>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</si>
  <si>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</si>
  <si>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</si>
  <si>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</si>
  <si>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</si>
  <si>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</si>
  <si>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</si>
  <si>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</si>
  <si>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</si>
  <si>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</si>
  <si>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</si>
  <si>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</si>
  <si>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</si>
  <si>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</si>
  <si>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</si>
  <si>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</si>
  <si>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</si>
  <si>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</si>
  <si>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</si>
  <si>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</si>
  <si>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</si>
  <si>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</si>
  <si>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</si>
  <si>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</si>
  <si>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</si>
  <si>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</si>
  <si>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</si>
  <si>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</si>
  <si>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</si>
  <si>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</si>
  <si>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</si>
  <si>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</si>
  <si>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</si>
  <si>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</si>
  <si>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</si>
  <si>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</si>
  <si>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</si>
  <si>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</si>
  <si>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</si>
  <si>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</si>
  <si>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</si>
  <si>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</si>
  <si>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</si>
  <si>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</si>
  <si>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</si>
  <si>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</si>
  <si>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</si>
  <si>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</si>
  <si>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</si>
  <si>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</si>
  <si>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</si>
  <si>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</si>
  <si>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</si>
  <si>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</si>
  <si>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</si>
  <si>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</si>
  <si>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</si>
  <si>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</si>
  <si>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</si>
  <si>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</si>
  <si>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</si>
  <si>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</si>
  <si>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</si>
  <si>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</si>
  <si>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</si>
  <si>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</si>
  <si>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</si>
  <si>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</si>
  <si>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</si>
  <si>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</si>
  <si>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</si>
  <si>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</si>
  <si>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</si>
  <si>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</si>
  <si>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</si>
  <si>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</si>
  <si>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</si>
  <si>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</si>
  <si>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</si>
  <si>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</si>
  <si>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</si>
  <si>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</si>
  <si>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</si>
  <si>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</si>
  <si>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</si>
  <si>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</si>
  <si>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</si>
  <si>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</si>
  <si>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</si>
  <si>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</si>
  <si>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</si>
  <si>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</si>
  <si>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</si>
  <si>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</si>
  <si>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</si>
  <si>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</si>
  <si>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</si>
  <si>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</si>
  <si>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</si>
  <si>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</si>
  <si>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</si>
  <si>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</si>
  <si>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</si>
  <si>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</si>
  <si>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</si>
  <si>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</si>
  <si>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</si>
  <si>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</si>
  <si>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</si>
  <si>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</si>
  <si>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</si>
  <si>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</si>
  <si>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</si>
  <si>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</si>
  <si>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</si>
  <si>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</si>
  <si>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</si>
  <si>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</si>
  <si>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</si>
  <si>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</si>
  <si>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</si>
  <si>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</si>
  <si>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</si>
  <si>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</si>
  <si>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</si>
  <si>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</si>
  <si>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</si>
  <si>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</si>
  <si>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</si>
  <si>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</si>
  <si>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</si>
  <si>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</si>
  <si>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</si>
  <si>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</si>
  <si>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</si>
  <si>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</si>
  <si>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</si>
  <si>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</si>
  <si>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</si>
  <si>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</si>
  <si>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</si>
  <si>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</si>
  <si>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</si>
  <si>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</si>
  <si>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</si>
  <si>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</si>
  <si>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</si>
  <si>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</si>
  <si>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</si>
  <si>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</si>
  <si>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</si>
  <si>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</si>
  <si>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</si>
  <si>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</si>
  <si>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</si>
  <si>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</si>
  <si>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</si>
  <si>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</si>
  <si>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</si>
  <si>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</si>
  <si>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</si>
  <si>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</si>
  <si>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</si>
  <si>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</si>
  <si>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</si>
  <si>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</si>
  <si>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</si>
  <si>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</si>
  <si>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</si>
  <si>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</si>
  <si>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</si>
  <si>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</si>
  <si>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</si>
  <si>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</si>
  <si>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</si>
  <si>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</si>
  <si>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</si>
  <si>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</si>
  <si>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</si>
  <si>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</si>
  <si>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</si>
  <si>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</si>
  <si>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</si>
  <si>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</si>
  <si>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</si>
  <si>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</si>
  <si>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</si>
  <si>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</si>
  <si>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</si>
  <si>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</si>
  <si>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</si>
  <si>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</si>
  <si>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</si>
  <si>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</si>
  <si>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</si>
  <si>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</si>
  <si>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</si>
  <si>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</si>
  <si>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</si>
  <si>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</si>
  <si>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</si>
  <si>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</si>
  <si>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</si>
  <si>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</si>
  <si>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</si>
  <si>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</si>
  <si>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</si>
  <si>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</si>
  <si>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</si>
  <si>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</si>
  <si>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</si>
  <si>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</si>
  <si>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</si>
  <si>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</si>
  <si>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</si>
  <si>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</si>
  <si>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</si>
  <si>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</si>
  <si>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</si>
  <si>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</si>
  <si>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</si>
  <si>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</si>
  <si>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</si>
  <si>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</si>
  <si>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</si>
  <si>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</si>
  <si>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</si>
  <si>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</si>
  <si>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</si>
  <si>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</si>
  <si>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</si>
  <si>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</si>
  <si>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</si>
  <si>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</si>
  <si>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</si>
  <si>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</si>
  <si>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</si>
  <si>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</si>
  <si>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</si>
  <si>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</si>
  <si>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</si>
  <si>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</si>
  <si>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</si>
  <si>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</si>
  <si>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</si>
  <si>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</si>
  <si>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</si>
  <si>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</si>
  <si>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</si>
  <si>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</si>
  <si>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</si>
  <si>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</si>
  <si>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</si>
  <si>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</si>
  <si>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</si>
  <si>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</si>
  <si>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</si>
  <si>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</si>
  <si>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</si>
  <si>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</si>
  <si>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</si>
  <si>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</si>
  <si>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</si>
  <si>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</si>
  <si>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</si>
  <si>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</si>
  <si>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</si>
  <si>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</si>
  <si>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</si>
  <si>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</si>
  <si>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</si>
  <si>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</si>
  <si>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</si>
  <si>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</si>
  <si>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</si>
  <si>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</si>
  <si>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</si>
  <si>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</si>
  <si>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</si>
  <si>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</si>
  <si>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</si>
  <si>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</si>
  <si>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</si>
  <si>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</si>
  <si>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</si>
  <si>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</si>
  <si>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</si>
  <si>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</si>
  <si>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</si>
  <si>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</si>
  <si>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</si>
  <si>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</si>
  <si>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</si>
  <si>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</si>
  <si>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</si>
  <si>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</si>
  <si>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</si>
  <si>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</si>
  <si>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</si>
  <si>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</si>
  <si>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</si>
  <si>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</si>
  <si>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</si>
  <si>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</si>
  <si>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</si>
  <si>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</si>
  <si>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</si>
  <si>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</si>
  <si>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</si>
  <si>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</si>
  <si>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</si>
  <si>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</si>
  <si>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</si>
  <si>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</si>
  <si>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</si>
  <si>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</si>
  <si>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</si>
  <si>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</si>
  <si>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</si>
  <si>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</si>
  <si>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</si>
  <si>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</si>
  <si>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</si>
  <si>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</si>
  <si>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</si>
  <si>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</si>
  <si>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</si>
  <si>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</si>
  <si>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</si>
  <si>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</si>
  <si>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</si>
  <si>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</si>
  <si>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</si>
  <si>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</si>
  <si>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</si>
  <si>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</si>
  <si>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</si>
  <si>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</si>
  <si>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</si>
  <si>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</si>
  <si>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</si>
  <si>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</si>
  <si>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</si>
  <si>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</si>
  <si>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</si>
  <si>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</si>
  <si>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</si>
  <si>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</si>
  <si>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</si>
  <si>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</si>
  <si>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</si>
  <si>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</si>
  <si>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</si>
  <si>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</si>
  <si>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</si>
  <si>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</si>
  <si>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</si>
  <si>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</si>
  <si>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</si>
  <si>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</si>
  <si>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</si>
  <si>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</si>
  <si>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</si>
  <si>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</si>
  <si>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</si>
  <si>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</si>
  <si>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</si>
  <si>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</si>
  <si>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</si>
  <si>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</si>
  <si>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</si>
  <si>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</si>
  <si>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</si>
  <si>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</si>
  <si>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</si>
  <si>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</si>
  <si>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</si>
  <si>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</si>
  <si>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</si>
  <si>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</si>
  <si>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</si>
  <si>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</si>
  <si>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</si>
  <si>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</si>
  <si>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</si>
  <si>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</si>
  <si>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</si>
  <si>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</si>
  <si>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</si>
  <si>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</si>
  <si>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</si>
  <si>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</si>
  <si>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</si>
  <si>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</si>
  <si>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</si>
  <si>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</si>
  <si>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</si>
  <si>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</si>
  <si>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</si>
  <si>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</si>
  <si>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</si>
  <si>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</si>
  <si>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</si>
  <si>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</si>
  <si>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</si>
  <si>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</si>
  <si>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</si>
  <si>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</si>
  <si>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</si>
  <si>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</si>
  <si>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</si>
  <si>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</si>
  <si>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</si>
  <si>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</si>
  <si>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</si>
  <si>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</si>
  <si>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</si>
  <si>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</si>
  <si>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</si>
  <si>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</si>
  <si>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</si>
  <si>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</si>
  <si>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</si>
  <si>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</si>
  <si>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</si>
  <si>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</si>
  <si>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</si>
  <si>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</si>
  <si>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</si>
  <si>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</si>
  <si>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</si>
  <si>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</si>
  <si>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</si>
  <si>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</si>
  <si>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</si>
  <si>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</si>
  <si>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</si>
  <si>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</si>
  <si>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</si>
  <si>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</si>
  <si>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</si>
  <si>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</si>
  <si>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</si>
  <si>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</si>
  <si>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</si>
  <si>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</si>
  <si>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</si>
  <si>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</si>
  <si>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</si>
  <si>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</si>
  <si>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</si>
  <si>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</si>
  <si>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</si>
  <si>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</si>
  <si>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</si>
  <si>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</si>
  <si>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</si>
  <si>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</si>
  <si>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</si>
  <si>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</si>
  <si>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</si>
  <si>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</si>
  <si>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</si>
  <si>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</si>
  <si>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</si>
  <si>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</si>
  <si>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</si>
  <si>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</si>
  <si>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</si>
  <si>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</si>
  <si>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</si>
  <si>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</si>
  <si>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</si>
  <si>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</si>
  <si>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</si>
  <si>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</si>
  <si>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</si>
  <si>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</si>
  <si>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</si>
  <si>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</si>
  <si>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</si>
  <si>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</si>
  <si>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</si>
  <si>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</si>
  <si>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</si>
  <si>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</si>
  <si>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</si>
  <si>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</si>
  <si>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</si>
  <si>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</si>
  <si>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</si>
  <si>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</si>
  <si>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</si>
  <si>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</si>
  <si>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</si>
  <si>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</si>
  <si>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</si>
  <si>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</si>
  <si>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</si>
  <si>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</si>
  <si>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</si>
  <si>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</si>
  <si>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</si>
  <si>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</si>
  <si>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</si>
  <si>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</si>
  <si>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</si>
  <si>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</si>
  <si>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</si>
  <si>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</si>
  <si>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</si>
  <si>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</si>
  <si>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</si>
  <si>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</si>
  <si>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</si>
  <si>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</si>
  <si>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</si>
  <si>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</si>
  <si>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</si>
  <si>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</si>
  <si>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</si>
  <si>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</si>
  <si>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</si>
  <si>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</si>
  <si>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</si>
  <si>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</si>
  <si>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</si>
  <si>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</si>
  <si>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</si>
  <si>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</si>
  <si>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</si>
  <si>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</si>
  <si>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</si>
  <si>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</si>
  <si>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</si>
  <si>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</si>
  <si>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</si>
  <si>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</si>
  <si>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</si>
  <si>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</si>
  <si>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</si>
  <si>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</si>
  <si>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</si>
  <si>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</si>
  <si>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</si>
  <si>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</si>
  <si>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</si>
  <si>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</si>
  <si>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</si>
  <si>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</si>
  <si>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</si>
  <si>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</si>
  <si>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</si>
  <si>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</si>
  <si>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</si>
  <si>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</si>
  <si>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</si>
  <si>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</si>
  <si>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</si>
  <si>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</si>
  <si>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</si>
  <si>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</si>
  <si>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</si>
  <si>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</si>
  <si>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</si>
  <si>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</si>
  <si>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</si>
  <si>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</si>
  <si>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</si>
  <si>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</si>
  <si>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</si>
  <si>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</si>
  <si>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</si>
  <si>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</si>
  <si>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</si>
  <si>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</si>
  <si>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</si>
  <si>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</si>
  <si>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</si>
  <si>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</si>
  <si>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</si>
  <si>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</si>
  <si>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</si>
  <si>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</si>
  <si>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</si>
  <si>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</si>
  <si>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</si>
  <si>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</si>
  <si>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</si>
  <si>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</si>
  <si>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</si>
  <si>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</si>
  <si>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</si>
  <si>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</si>
  <si>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</si>
  <si>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</si>
  <si>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</si>
  <si>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</si>
  <si>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</si>
  <si>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</si>
  <si>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</si>
  <si>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</si>
  <si>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</si>
  <si>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</si>
  <si>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</si>
  <si>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</si>
  <si>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</si>
  <si>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</si>
  <si>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</si>
  <si>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</si>
  <si>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</si>
  <si>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</si>
  <si>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</si>
  <si>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</si>
  <si>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</si>
  <si>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</si>
  <si>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Report 1 : Working Hours</t>
  </si>
  <si>
    <t>Emp Total Number of working Hours.</t>
  </si>
  <si>
    <t>Anamika Gupta</t>
  </si>
  <si>
    <t>Abdul Hamid</t>
  </si>
  <si>
    <t>Afzal Husain</t>
  </si>
  <si>
    <t>Anikuttan</t>
  </si>
  <si>
    <t>Anil Kumar</t>
  </si>
  <si>
    <t>Anita Dixit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</si>
</sst>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%"/>
    <numFmt numFmtId="165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608BB4"/>
      </right>
      <top style="thin">
        <color rgb="FF608BB4"/>
      </top>
      <bottom style="thin">
        <color rgb="FF608BB4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49" fontId="8" fillId="4" borderId="3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center" vertical="center" wrapText="1"/>
    </xf>
    <xf numFmtId="49" fontId="3" fillId="4" borderId="5" xfId="0" applyNumberFormat="1" applyFont="1" applyFill="1" applyBorder="1" applyAlignment="1">
      <alignment horizontal="center" vertical="center" wrapText="1"/>
    </xf>
    <xf numFmtId="0" fontId="9" fillId="0" borderId="0" xfId="0" applyFont="1"/>
    <xf numFmtId="0" fontId="2" fillId="6" borderId="0" xfId="0" applyFont="1" applyFill="1"/>
    <xf numFmtId="0" fontId="0" fillId="0" borderId="0" xfId="0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7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1st  project.xlsm]Dashboard!PivotTable1</c:name>
    <c:fmtId val="1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chemeClr val="accent4">
                <a:lumMod val="20000"/>
                <a:lumOff val="80000"/>
              </a:schemeClr>
            </a:solidFill>
          </c:spPr>
          <c:txPr>
            <a:bodyPr/>
            <a:lstStyle/>
            <a:p>
              <a:pPr>
                <a:defRPr sz="700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4.4579519715507991E-2"/>
          <c:y val="0.16785022040807915"/>
          <c:w val="0.910840960568984"/>
          <c:h val="0.52111374568351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Dashboard!$A$5:$A$10</c:f>
              <c:strCache>
                <c:ptCount val="6"/>
                <c:pt idx="0">
                  <c:v>Abdul Hamid</c:v>
                </c:pt>
                <c:pt idx="1">
                  <c:v>Afzal Husain</c:v>
                </c:pt>
                <c:pt idx="2">
                  <c:v>Anamika Gupta</c:v>
                </c:pt>
                <c:pt idx="3">
                  <c:v>Anikuttan</c:v>
                </c:pt>
                <c:pt idx="4">
                  <c:v>Anil Kumar</c:v>
                </c:pt>
                <c:pt idx="5">
                  <c:v>Anita Dixit</c:v>
                </c:pt>
              </c:strCache>
            </c:strRef>
          </c:cat>
          <c:val>
            <c:numRef>
              <c:f>Dashboard!$B$5:$B$10</c:f>
              <c:numCache>
                <c:formatCode>[$-F400]h:mm:ss\ AM/PM</c:formatCode>
                <c:ptCount val="6"/>
                <c:pt idx="0">
                  <c:v>0.34424768518518517</c:v>
                </c:pt>
                <c:pt idx="1">
                  <c:v>0.34416666666666668</c:v>
                </c:pt>
                <c:pt idx="2">
                  <c:v>0.34510416666666671</c:v>
                </c:pt>
                <c:pt idx="3">
                  <c:v>0.34023148148148147</c:v>
                </c:pt>
                <c:pt idx="4">
                  <c:v>0.30603009259259256</c:v>
                </c:pt>
                <c:pt idx="5">
                  <c:v>0.20843750000000003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087936"/>
        <c:axId val="178100416"/>
      </c:barChart>
      <c:catAx>
        <c:axId val="226087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100416"/>
        <c:crosses val="autoZero"/>
        <c:auto val="1"/>
        <c:lblAlgn val="ctr"/>
        <c:lblOffset val="100"/>
        <c:noMultiLvlLbl val="0"/>
      </c:catAx>
      <c:valAx>
        <c:axId val="178100416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226087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Spin" dx="16" fmlaLink="C1" max="15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790576</xdr:colOff>
      <xdr:row>0</xdr:row>
      <xdr:rowOff>19050</xdr:rowOff>
    </xdr:from>
    <xdr:to>
      <xdr:col>1</xdr:col>
      <xdr:colOff>1381126</xdr:colOff>
      <xdr:row>1</xdr:row>
      <xdr:rowOff>171450</xdr:rowOff>
    </xdr:to>
    <xdr:sp macro="" textlink="$C$1">
      <xdr:nvSpPr>
        <xdr:cNvPr id="12" name="Rectangle 11"/>
        <xdr:cNvSpPr/>
      </xdr:nvSpPr>
      <xdr:spPr>
        <a:xfrm>
          <a:off x="1743076" y="19050"/>
          <a:ext cx="590550" cy="34290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33266A80-9E3F-4EF4-95B3-6FA40D438B1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US" sz="16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66675</xdr:colOff>
      <xdr:row>10</xdr:row>
      <xdr:rowOff>38100</xdr:rowOff>
    </xdr:from>
    <xdr:to>
      <xdr:col>1</xdr:col>
      <xdr:colOff>2247901</xdr:colOff>
      <xdr:row>22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</xdr:colOff>
      <xdr:row>0</xdr:row>
      <xdr:rowOff>28575</xdr:rowOff>
    </xdr:from>
    <xdr:to>
      <xdr:col>0</xdr:col>
      <xdr:colOff>847725</xdr:colOff>
      <xdr:row>1</xdr:row>
      <xdr:rowOff>152400</xdr:rowOff>
    </xdr:to>
    <xdr:sp macro="" textlink="">
      <xdr:nvSpPr>
        <xdr:cNvPr id="7" name="Right Arrow 6"/>
        <xdr:cNvSpPr/>
      </xdr:nvSpPr>
      <xdr:spPr>
        <a:xfrm>
          <a:off x="57150" y="28575"/>
          <a:ext cx="790575" cy="314325"/>
        </a:xfrm>
        <a:prstGeom prst="rightArrow">
          <a:avLst>
            <a:gd name="adj1" fmla="val 84042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Algerian" panose="04020705040A02060702" pitchFamily="82" charset="0"/>
            </a:rPr>
            <a:t>Chart</a:t>
          </a:r>
        </a:p>
      </xdr:txBody>
    </xdr:sp>
    <xdr:clientData/>
  </xdr:twoCellAnchor>
  <xdr:twoCellAnchor editAs="oneCell">
    <xdr:from>
      <xdr:col>0</xdr:col>
      <xdr:colOff>904876</xdr:colOff>
      <xdr:row>0</xdr:row>
      <xdr:rowOff>0</xdr:rowOff>
    </xdr:from>
    <xdr:to>
      <xdr:col>1</xdr:col>
      <xdr:colOff>561976</xdr:colOff>
      <xdr:row>2</xdr:row>
      <xdr:rowOff>41654</xdr:rowOff>
    </xdr:to>
    <xdr:pic macro="[0]!Macro5"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125" t="11916" r="3125" b="10939"/>
        <a:stretch/>
      </xdr:blipFill>
      <xdr:spPr>
        <a:xfrm flipV="1">
          <a:off x="904876" y="0"/>
          <a:ext cx="609600" cy="422654"/>
        </a:xfrm>
        <a:prstGeom prst="rect">
          <a:avLst/>
        </a:prstGeom>
      </xdr:spPr>
    </xdr:pic>
    <xdr:clientData/>
  </xdr:twoCellAnchor>
  <xdr:twoCellAnchor editAs="oneCell">
    <xdr:from>
      <xdr:col>0</xdr:col>
      <xdr:colOff>923926</xdr:colOff>
      <xdr:row>0</xdr:row>
      <xdr:rowOff>9526</xdr:rowOff>
    </xdr:from>
    <xdr:to>
      <xdr:col>1</xdr:col>
      <xdr:colOff>584074</xdr:colOff>
      <xdr:row>1</xdr:row>
      <xdr:rowOff>164875</xdr:rowOff>
    </xdr:to>
    <xdr:pic macro="[0]!Macro5">
      <xdr:nvPicPr>
        <xdr:cNvPr id="10" name="Picture 9" hidden="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3926" y="9526"/>
          <a:ext cx="612648" cy="34584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0</xdr:row>
          <xdr:rowOff>0</xdr:rowOff>
        </xdr:from>
        <xdr:to>
          <xdr:col>1</xdr:col>
          <xdr:colOff>981075</xdr:colOff>
          <xdr:row>1</xdr:row>
          <xdr:rowOff>171450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1381124</xdr:colOff>
      <xdr:row>0</xdr:row>
      <xdr:rowOff>38100</xdr:rowOff>
    </xdr:from>
    <xdr:to>
      <xdr:col>1</xdr:col>
      <xdr:colOff>2343149</xdr:colOff>
      <xdr:row>1</xdr:row>
      <xdr:rowOff>161925</xdr:rowOff>
    </xdr:to>
    <xdr:sp macro="" textlink="">
      <xdr:nvSpPr>
        <xdr:cNvPr id="17" name="Right Arrow 16"/>
        <xdr:cNvSpPr/>
      </xdr:nvSpPr>
      <xdr:spPr>
        <a:xfrm flipH="1">
          <a:off x="2333624" y="38100"/>
          <a:ext cx="962025" cy="314325"/>
        </a:xfrm>
        <a:prstGeom prst="rightArrow">
          <a:avLst>
            <a:gd name="adj1" fmla="val 84042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Algerian" panose="04020705040A02060702" pitchFamily="82" charset="0"/>
            </a:rPr>
            <a:t>Rcords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actice%20DATA%20From%20Learn%20More%20(Autosav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Sheet3"/>
      <sheetName val="Sheet4"/>
      <sheetName val="Macro1"/>
      <sheetName val="Dashboard"/>
    </sheetNames>
    <definedNames>
      <definedName name="Spinner2_Cod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6264.760701504631" createdVersion="4" refreshedVersion="4" minRefreshableVersion="3" recordCount="150">
  <cacheSource type="worksheet">
    <worksheetSource ref="A1:G1048576" sheet="Summary"/>
  </cacheSource>
  <cacheFields count="7">
    <cacheField name="Employee" numFmtId="0">
      <sharedItems containsBlank="1"/>
    </cacheField>
    <cacheField name="Emp Name" numFmtId="0">
      <sharedItems containsBlank="1" count="142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  <m/>
      </sharedItems>
    </cacheField>
    <cacheField name="Total Number of woking hours" numFmtId="0">
      <sharedItems containsNonDate="0" containsDate="1" containsString="0" containsBlank="1" minDate="1899-12-30T04:56:13" maxDate="1899-12-30T09:16:31"/>
    </cacheField>
    <cacheField name="Work Efficiency " numFmtId="0">
      <sharedItems containsDate="1" containsBlank="1" containsMixedTypes="1" minDate="1899-12-30T00:48:33" maxDate="1899-12-30T05:52:08"/>
    </cacheField>
    <cacheField name="Total Break Taken" numFmtId="0">
      <sharedItems containsNonDate="0" containsDate="1" containsString="0" containsBlank="1" minDate="1899-12-30T00:00:00" maxDate="1899-12-30T00:44:30"/>
    </cacheField>
    <cacheField name="Attended Calls" numFmtId="0">
      <sharedItems containsString="0" containsBlank="1" containsNumber="1" containsInteger="1" minValue="23" maxValue="107"/>
    </cacheField>
    <cacheField name="Active With Cust." numFmtId="0">
      <sharedItems containsString="0" containsBlank="1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s v="Mum_Abdul Hamid (1008512)"/>
    <x v="0"/>
    <d v="1899-12-30T08:15:43"/>
    <d v="1899-12-30T04:57:59"/>
    <d v="1899-12-30T00:36:49"/>
    <n v="98"/>
    <n v="0.55697138822580095"/>
  </r>
  <r>
    <s v="Mum_Afzal Husain (1008513)"/>
    <x v="1"/>
    <d v="1899-12-30T08:15:36"/>
    <d v="1899-12-30T04:58:34"/>
    <d v="1899-12-30T00:39:56"/>
    <n v="23"/>
    <n v="0.58027306967984904"/>
  </r>
  <r>
    <s v="Mum_Anamika Gupta (1008514)"/>
    <x v="2"/>
    <d v="1899-12-30T08:16:57"/>
    <d v="1899-12-30T04:49:35"/>
    <d v="1899-12-30T00:39:49"/>
    <n v="28"/>
    <n v="0.51708756749505302"/>
  </r>
  <r>
    <s v="Mum_Anikuttan (1008515)"/>
    <x v="3"/>
    <d v="1899-12-30T08:09:56"/>
    <d v="1899-12-30T04:17:32"/>
    <d v="1899-12-30T00:39:17"/>
    <n v="29"/>
    <n v="0.47720778337188702"/>
  </r>
  <r>
    <s v="Mum_Anil Kumar (1008516)"/>
    <x v="4"/>
    <d v="1899-12-30T07:20:41"/>
    <d v="1899-12-30T03:19:44"/>
    <d v="1899-12-30T00:00:00"/>
    <n v="93"/>
    <n v="0.43288831738587802"/>
  </r>
  <r>
    <s v="Mum_Anita Dixit (1008517)"/>
    <x v="5"/>
    <d v="1899-12-30T05:00:09"/>
    <d v="1899-12-30T03:41:19"/>
    <d v="1899-12-30T00:00:00"/>
    <n v="92"/>
    <n v="0.65495030262646503"/>
  </r>
  <r>
    <s v="Mum_Anita Ghore (1008518)"/>
    <x v="6"/>
    <d v="1899-12-30T08:16:38"/>
    <d v="1899-12-30T04:12:46"/>
    <d v="1899-12-30T00:39:59"/>
    <n v="26"/>
    <n v="0.49476474931203401"/>
  </r>
  <r>
    <s v="Mum_Anjali Deoram (1008519)"/>
    <x v="7"/>
    <d v="1899-12-30T09:16:31"/>
    <d v="1899-12-30T05:52:08"/>
    <d v="1899-12-30T00:40:23"/>
    <n v="90"/>
    <n v="0.55128627474469205"/>
  </r>
  <r>
    <s v="Mum_Anjali Sahay (1008520)"/>
    <x v="8"/>
    <d v="1899-12-30T08:13:18"/>
    <d v="1899-12-30T04:52:29"/>
    <d v="1899-12-30T00:39:55"/>
    <n v="89"/>
    <n v="0.55206432867085597"/>
  </r>
  <r>
    <s v="Mum_Annu Latika (1008521)"/>
    <x v="9"/>
    <d v="1899-12-30T08:20:41"/>
    <d v="1899-12-30T04:58:07"/>
    <d v="1899-12-30T00:39:51"/>
    <n v="54"/>
    <n v="0.56868945774108703"/>
  </r>
  <r>
    <s v="Mum_Anoop Narayan (1008522)"/>
    <x v="10"/>
    <d v="1899-12-30T08:10:35"/>
    <d v="1899-12-30T04:55:28"/>
    <d v="1899-12-30T00:39:41"/>
    <n v="87"/>
    <n v="0.56035332087650802"/>
  </r>
  <r>
    <s v="Mum_Anoop Raj (1008523)"/>
    <x v="11"/>
    <d v="1899-12-30T08:04:10"/>
    <d v="1899-12-30T03:47:42"/>
    <d v="1899-12-30T00:39:05"/>
    <n v="65"/>
    <n v="0.41552495697073999"/>
  </r>
  <r>
    <s v="Mum_Anubhuti Gupta (1008524)"/>
    <x v="12"/>
    <d v="1899-12-30T08:14:38"/>
    <d v="1899-12-30T04:43:40"/>
    <d v="1899-12-30T00:39:06"/>
    <n v="85"/>
    <n v="0.50026955994339195"/>
  </r>
  <r>
    <s v="Mum_Arun Kumar (1008525)"/>
    <x v="13"/>
    <d v="1899-12-30T07:59:50"/>
    <d v="1899-12-30T04:40:27"/>
    <d v="1899-12-30T00:43:00"/>
    <n v="65"/>
    <n v="0.51396318166029897"/>
  </r>
  <r>
    <s v="Mum_Ashish Kumar (1008526)"/>
    <x v="14"/>
    <d v="1899-12-30T08:16:59"/>
    <d v="1899-12-30T04:57:35"/>
    <d v="1899-12-30T00:37:37"/>
    <n v="83"/>
    <n v="0.510580502364264"/>
  </r>
  <r>
    <s v="Mum_Ashok Kumar (1008527)"/>
    <x v="15"/>
    <d v="1899-12-30T08:17:15"/>
    <d v="1899-12-30T04:10:25"/>
    <d v="1899-12-30T00:42:06"/>
    <n v="82"/>
    <n v="0.48292274174627098"/>
  </r>
  <r>
    <s v="Hyd_Ashok Kumar (1008528)"/>
    <x v="15"/>
    <d v="1899-12-30T07:53:01"/>
    <d v="1899-12-30T04:44:12"/>
    <d v="1899-12-30T00:39:10"/>
    <n v="81"/>
    <n v="0.57362319861879396"/>
  </r>
  <r>
    <s v="Hyd_Ashok Kumar (1008529)"/>
    <x v="15"/>
    <d v="1899-12-30T08:16:43"/>
    <d v="1899-12-30T04:58:07"/>
    <d v="1899-12-30T00:39:57"/>
    <n v="80"/>
    <n v="0.56430560681810604"/>
  </r>
  <r>
    <s v="Hyd_Ashok Kumar (1008530)"/>
    <x v="15"/>
    <d v="1899-12-30T08:21:16"/>
    <d v="1899-12-30T04:23:03"/>
    <d v="1899-12-30T00:39:11"/>
    <n v="79"/>
    <n v="0.46974331693044302"/>
  </r>
  <r>
    <s v="Hyd_Ashok Mahto (1008531)"/>
    <x v="16"/>
    <d v="1899-12-30T08:17:52"/>
    <d v="1899-12-30T04:58:14"/>
    <d v="1899-12-30T00:40:20"/>
    <n v="78"/>
    <n v="0.57495313336904097"/>
  </r>
  <r>
    <s v="Hyd_Atul Kumar (1008532)"/>
    <x v="17"/>
    <d v="1899-12-30T08:13:41"/>
    <d v="1899-12-30T04:53:40"/>
    <d v="1899-12-30T00:39:29"/>
    <n v="77"/>
    <n v="0.57945376590932096"/>
  </r>
  <r>
    <s v="Hyd_Azam (1008533)"/>
    <x v="18"/>
    <d v="1899-12-30T08:17:34"/>
    <d v="1899-12-30T04:59:50"/>
    <d v="1899-12-30T00:39:37"/>
    <n v="76"/>
    <n v="0.588296375695049"/>
  </r>
  <r>
    <s v="Hyd_Bhagwat Singh (1008534)"/>
    <x v="19"/>
    <d v="1899-12-30T07:41:44"/>
    <d v="1899-12-30T04:08:57"/>
    <d v="1899-12-30T00:40:00"/>
    <n v="75"/>
    <n v="0.46267686976609901"/>
  </r>
  <r>
    <s v="Hyd_Bindu Nair (1008535)"/>
    <x v="20"/>
    <d v="1899-12-30T08:10:04"/>
    <d v="1899-12-30T04:14:05"/>
    <d v="1899-12-30T00:39:50"/>
    <n v="74"/>
    <n v="0.478030199972793"/>
  </r>
  <r>
    <s v="Hyd_Daleep Singh (1008536)"/>
    <x v="21"/>
    <d v="1899-12-30T08:14:20"/>
    <d v="1899-12-30T05:26:56"/>
    <d v="1899-12-30T00:39:28"/>
    <n v="73"/>
    <n v="0.59983142279163904"/>
  </r>
  <r>
    <s v="Hyd_Deepak Kumar (1008537)"/>
    <x v="22"/>
    <d v="1899-12-30T07:35:57"/>
    <d v="1899-12-30T05:05:16"/>
    <d v="1899-12-30T00:00:00"/>
    <n v="72"/>
    <n v="0.65029060203969702"/>
  </r>
  <r>
    <s v="Hyd_Deepika Nigam (1008538)"/>
    <x v="23"/>
    <d v="1899-12-30T08:16:59"/>
    <d v="1899-12-30T04:56:45"/>
    <d v="1899-12-30T00:39:54"/>
    <n v="71"/>
    <n v="0.55001844461584903"/>
  </r>
  <r>
    <s v="Hyd_Dinesh Kumar (1008539)"/>
    <x v="24"/>
    <d v="1899-12-30T08:13:53"/>
    <d v="1899-12-30T05:06:20"/>
    <d v="1899-12-30T00:40:10"/>
    <n v="70"/>
    <n v="0.51334660682347399"/>
  </r>
  <r>
    <s v="Hyd_Hari Kumar (1008540)"/>
    <x v="25"/>
    <d v="1899-12-30T08:15:11"/>
    <d v="1899-12-30T04:11:43"/>
    <d v="1899-12-30T00:40:56"/>
    <n v="69"/>
    <n v="0.43603379219817601"/>
  </r>
  <r>
    <s v="Hyd_Heeramani Choudhary (1008541)"/>
    <x v="26"/>
    <d v="1899-12-30T07:27:24"/>
    <d v="1899-12-30T04:35:28"/>
    <d v="1899-12-30T00:00:00"/>
    <n v="68"/>
    <n v="0.52954105200417201"/>
  </r>
  <r>
    <s v="Hyd_Indra Pal (1008542)"/>
    <x v="27"/>
    <d v="1899-12-30T07:59:57"/>
    <d v="1899-12-30T05:14:16"/>
    <d v="1899-12-30T00:39:50"/>
    <n v="67"/>
    <n v="0.56446852102649603"/>
  </r>
  <r>
    <s v="Hyd_Indra Singh (1008543)"/>
    <x v="28"/>
    <d v="1899-12-30T08:17:44"/>
    <d v="1899-12-30T05:05:03"/>
    <d v="1899-12-30T00:39:19"/>
    <n v="66"/>
    <n v="0.49789043664612898"/>
  </r>
  <r>
    <s v="Hyd_Jagdish Chandra (1008544)"/>
    <x v="29"/>
    <d v="1899-12-30T08:19:10"/>
    <d v="1899-12-30T04:59:15"/>
    <d v="1899-12-30T00:42:06"/>
    <n v="65"/>
    <n v="0.56270450751252099"/>
  </r>
  <r>
    <s v="Hyd_Jairaj Vatham (1008545)"/>
    <x v="30"/>
    <d v="1899-12-30T08:16:23"/>
    <d v="1899-12-30T05:02:08"/>
    <d v="1899-12-30T00:39:09"/>
    <n v="64"/>
    <n v="0.57680556021891705"/>
  </r>
  <r>
    <s v="Hyd_Janardan Mishra (1008546)"/>
    <x v="31"/>
    <d v="1899-12-30T07:39:42"/>
    <d v="1899-12-30T04:32:56"/>
    <d v="1899-12-30T00:00:00"/>
    <n v="63"/>
    <n v="0.55728373576970502"/>
  </r>
  <r>
    <s v="Hyd_Jitendra Kumar (1008547)"/>
    <x v="32"/>
    <d v="1899-12-30T08:11:27"/>
    <d v="1899-12-30T04:07:41"/>
    <d v="1899-12-30T00:39:30"/>
    <n v="62"/>
    <n v="0.47590463594126198"/>
  </r>
  <r>
    <s v="Hyd_John D'Costa (1008548)"/>
    <x v="33"/>
    <d v="1899-12-30T08:09:47"/>
    <d v="1899-12-30T04:51:30"/>
    <d v="1899-12-30T00:39:48"/>
    <n v="61"/>
    <n v="0.55636846224520997"/>
  </r>
  <r>
    <s v="Hyd_Julie S (1008549)"/>
    <x v="34"/>
    <d v="1899-12-30T08:15:46"/>
    <d v="1899-12-30T04:56:12"/>
    <d v="1899-12-30T00:39:56"/>
    <n v="60"/>
    <n v="0.527970147246689"/>
  </r>
  <r>
    <s v="Hyd_Jyoti Tulsani (1008550)"/>
    <x v="35"/>
    <d v="1899-12-30T08:15:19"/>
    <d v="1899-12-30T04:56:56"/>
    <d v="1899-12-30T00:39:45"/>
    <n v="59"/>
    <n v="0.565025741108382"/>
  </r>
  <r>
    <s v="Hyd_Kahkasha Parveen (1008551)"/>
    <x v="36"/>
    <d v="1899-12-30T08:17:24"/>
    <d v="1899-12-30T05:25:18"/>
    <d v="1899-12-30T00:41:56"/>
    <n v="58"/>
    <n v="0.48579278917035301"/>
  </r>
  <r>
    <s v="Hyd_Kailash Nath (1008552)"/>
    <x v="37"/>
    <d v="1899-12-30T08:16:01"/>
    <d v="1899-12-30T04:58:27"/>
    <d v="1899-12-30T00:38:04"/>
    <n v="57"/>
    <n v="0.572258996673499"/>
  </r>
  <r>
    <s v="Hyd_Kalpana Agrawal (1008553)"/>
    <x v="38"/>
    <d v="1899-12-30T08:00:08"/>
    <d v="1899-12-30T03:54:19"/>
    <d v="1899-12-30T00:32:59"/>
    <n v="56"/>
    <n v="0.46542627048042201"/>
  </r>
  <r>
    <s v="Hyd_Kamini Kumar (1008554)"/>
    <x v="39"/>
    <d v="1899-12-30T05:01:37"/>
    <d v="1899-12-30T03:21:30"/>
    <d v="1899-12-30T00:00:00"/>
    <n v="55"/>
    <n v="0.64380836602751801"/>
  </r>
  <r>
    <s v="Hyd_Kamini Tiwari (1008555)"/>
    <x v="40"/>
    <d v="1899-12-30T08:26:46"/>
    <d v="1899-12-30T05:18:49"/>
    <d v="1899-12-30T00:36:12"/>
    <n v="54"/>
    <n v="0.57347234098533195"/>
  </r>
  <r>
    <s v="Hyd_Kavita Sharma (1008556)"/>
    <x v="41"/>
    <d v="1899-12-30T07:53:25"/>
    <d v="1899-12-30T05:26:19"/>
    <d v="1899-12-30T00:22:27"/>
    <n v="53"/>
    <n v="0.64717479317021698"/>
  </r>
  <r>
    <s v="Hyd_Kiran Khubchandani (1008557)"/>
    <x v="42"/>
    <d v="1899-12-30T08:01:28"/>
    <d v="1899-12-30T04:13:15"/>
    <d v="1899-12-30T00:39:52"/>
    <n v="52"/>
    <n v="0.50443090556632497"/>
  </r>
  <r>
    <s v="Hyd_Kisun Sah (1008558)"/>
    <x v="43"/>
    <d v="1899-12-30T08:21:34"/>
    <d v="1899-12-30T05:08:41"/>
    <d v="1899-12-30T00:39:19"/>
    <n v="51"/>
    <n v="0.55280122283511701"/>
  </r>
  <r>
    <s v="Hyd_Krishana Kumar (1008559)"/>
    <x v="44"/>
    <d v="1899-12-30T08:15:28"/>
    <d v="1899-12-30T04:45:06"/>
    <d v="1899-12-30T00:39:57"/>
    <n v="50"/>
    <n v="0.55493137782561897"/>
  </r>
  <r>
    <s v="Hyd_Kunj Bihari (1008560)"/>
    <x v="45"/>
    <d v="1899-12-30T07:59:19"/>
    <d v="1899-12-30T04:42:13"/>
    <d v="1899-12-30T00:40:00"/>
    <n v="49"/>
    <n v="0.55217497131332804"/>
  </r>
  <r>
    <s v="Hyd_Leena George (1008561)"/>
    <x v="46"/>
    <d v="1899-12-30T04:56:13"/>
    <d v="1899-12-30T03:10:50"/>
    <d v="1899-12-30T00:00:00"/>
    <n v="48"/>
    <n v="0.58819557756147001"/>
  </r>
  <r>
    <s v="Hyd_Lilly Lucy (1008562)"/>
    <x v="47"/>
    <d v="1899-12-30T07:45:23"/>
    <d v="1899-12-30T04:39:06"/>
    <d v="1899-12-30T00:20:52"/>
    <n v="47"/>
    <n v="0.55534863732407003"/>
  </r>
  <r>
    <s v="Hyd_Mangal Singh (1008563)"/>
    <x v="48"/>
    <d v="1899-12-30T08:00:13"/>
    <d v="1899-12-30T04:46:25"/>
    <d v="1899-12-30T00:39:59"/>
    <n v="46"/>
    <n v="0.55815083469267301"/>
  </r>
  <r>
    <s v="Hyd_Manisha Shrivastava (1008564)"/>
    <x v="49"/>
    <d v="1899-12-30T08:09:49"/>
    <d v="1899-12-30T04:51:12"/>
    <d v="1899-12-30T00:39:58"/>
    <n v="45"/>
    <n v="0.53002824185919895"/>
  </r>
  <r>
    <s v="Hyd_Manjusha Sinha (1008565)"/>
    <x v="50"/>
    <d v="1899-12-30T08:14:05"/>
    <d v="1899-12-30T05:04:01"/>
    <d v="1899-12-30T00:44:30"/>
    <n v="44"/>
    <n v="0.54639905548996504"/>
  </r>
  <r>
    <s v="Hyd_ManjuTiwari Lab (1008566)"/>
    <x v="51"/>
    <d v="1899-12-30T07:41:28"/>
    <d v="1899-12-30T04:26:11"/>
    <d v="1899-12-30T00:39:42"/>
    <n v="43"/>
    <n v="0.52849609939323905"/>
  </r>
  <r>
    <s v="Hyd_Manoj Kumar (1008567)"/>
    <x v="52"/>
    <d v="1899-12-30T08:00:44"/>
    <d v="1899-12-30T04:28:58"/>
    <d v="1899-12-30T00:39:54"/>
    <n v="42"/>
    <n v="0.53279711551795905"/>
  </r>
  <r>
    <s v="Hyd_Manoj Kumar (1008568)"/>
    <x v="52"/>
    <d v="1899-12-30T07:55:23"/>
    <d v="1899-12-30T04:29:51"/>
    <d v="1899-12-30T00:39:56"/>
    <n v="41"/>
    <n v="0.53150089401535605"/>
  </r>
  <r>
    <s v="Hyd_Masroor Adil (1008569)"/>
    <x v="53"/>
    <d v="1899-12-30T08:10:04"/>
    <d v="1899-12-30T05:04:35"/>
    <d v="1899-12-30T00:39:55"/>
    <n v="40"/>
    <n v="0.58954564004897303"/>
  </r>
  <r>
    <s v="Hyd_Meena Zinjare (1008570)"/>
    <x v="54"/>
    <d v="1899-12-30T08:05:29"/>
    <d v="1899-12-30T03:09:32"/>
    <d v="1899-12-30T00:41:13"/>
    <n v="39"/>
    <n v="0.34903360911806097"/>
  </r>
  <r>
    <s v="Hyd_Mehnaz Khan (1008571)"/>
    <x v="55"/>
    <d v="1899-12-30T08:14:51"/>
    <d v="1899-12-30T04:08:21"/>
    <d v="1899-12-30T00:39:57"/>
    <n v="38"/>
    <n v="0.47933717288067101"/>
  </r>
  <r>
    <s v="Hyd_Mercy Thampi (1008572)"/>
    <x v="56"/>
    <d v="1899-12-30T05:15:35"/>
    <d v="1899-12-30T03:38:44"/>
    <d v="1899-12-30T00:00:00"/>
    <n v="37"/>
    <n v="0.62762080802746201"/>
  </r>
  <r>
    <s v="Hyd_Miny Mole (1008573)"/>
    <x v="57"/>
    <d v="1899-12-30T08:12:10"/>
    <d v="1899-12-30T04:14:06"/>
    <d v="1899-12-30T00:40:00"/>
    <n v="36"/>
    <n v="0.47561801557737898"/>
  </r>
  <r>
    <s v="Hyd_Mohd Rafi (1008574)"/>
    <x v="58"/>
    <d v="1899-12-30T08:00:32"/>
    <d v="1899-12-30T03:55:15"/>
    <d v="1899-12-30T00:39:50"/>
    <n v="35"/>
    <n v="0.43635543840177599"/>
  </r>
  <r>
    <s v="Hyd_Mubeen Khan (1008575)"/>
    <x v="59"/>
    <d v="1899-12-30T07:55:35"/>
    <d v="1899-12-30T03:50:43"/>
    <d v="1899-12-30T00:22:13"/>
    <n v="34"/>
    <n v="0.451270369721395"/>
  </r>
  <r>
    <s v="Hyd_Mukesh Nagar (1008576)"/>
    <x v="60"/>
    <d v="1899-12-30T05:01:07"/>
    <d v="1899-12-30T03:13:40"/>
    <d v="1899-12-30T00:00:00"/>
    <n v="33"/>
    <n v="0.61244257486024201"/>
  </r>
  <r>
    <s v="Hyd_Nandu Kumar (1008577)"/>
    <x v="61"/>
    <d v="1899-12-30T08:21:39"/>
    <d v="1899-12-30T04:43:39"/>
    <d v="1899-12-30T00:39:48"/>
    <n v="32"/>
    <n v="0.51755872288115901"/>
  </r>
  <r>
    <s v="Hyd_Narayan Singh (1008578)"/>
    <x v="62"/>
    <d v="1899-12-30T08:19:29"/>
    <d v="1899-12-30T04:54:19"/>
    <d v="1899-12-30T00:41:59"/>
    <n v="31"/>
    <n v="0.55550735760285597"/>
  </r>
  <r>
    <s v="Hyd_Neeraj Saxena (1008579)"/>
    <x v="63"/>
    <d v="1899-12-30T08:21:13"/>
    <d v="1899-12-30T04:36:09"/>
    <d v="1899-12-30T00:39:49"/>
    <n v="30"/>
    <n v="0.45535862734013899"/>
  </r>
  <r>
    <s v="Hyd_Neeru Mehta (1008580)"/>
    <x v="64"/>
    <d v="1899-12-30T08:02:20"/>
    <d v="1899-12-30T04:44:15"/>
    <d v="1899-12-30T00:39:59"/>
    <n v="29"/>
    <n v="0.53445058742225304"/>
  </r>
  <r>
    <s v="Hyd_Nikita Panwalkar (1008581)"/>
    <x v="65"/>
    <d v="1899-12-30T08:16:46"/>
    <d v="1899-12-30T04:58:45"/>
    <d v="1899-12-30T00:40:04"/>
    <n v="28"/>
    <n v="0.55914916459773201"/>
  </r>
  <r>
    <s v="Hyd_Nitin Bhatia (1008582)"/>
    <x v="66"/>
    <d v="1899-12-30T08:00:37"/>
    <d v="1899-12-30T04:44:56"/>
    <d v="1899-12-30T00:39:54"/>
    <n v="29"/>
    <n v="0.56847106148351101"/>
  </r>
  <r>
    <s v="Hyd_Om Prakash (1008583)"/>
    <x v="67"/>
    <d v="1899-12-30T07:55:44"/>
    <d v="1899-12-30T04:26:21"/>
    <d v="1899-12-30T00:39:48"/>
    <n v="30"/>
    <n v="0.47509108744394601"/>
  </r>
  <r>
    <s v="Hyd_Omprakash O (1008584)"/>
    <x v="68"/>
    <d v="1899-12-30T08:09:43"/>
    <d v="1899-12-30T04:02:05"/>
    <d v="1899-12-30T00:39:30"/>
    <n v="31"/>
    <n v="0.47578531804104401"/>
  </r>
  <r>
    <s v="Hyd_Owais Mohd (1008585)"/>
    <x v="69"/>
    <d v="1899-12-30T08:01:11"/>
    <d v="1899-12-30T04:02:50"/>
    <d v="1899-12-30T00:39:56"/>
    <n v="32"/>
    <n v="0.46898271622042897"/>
  </r>
  <r>
    <s v="Hyd_Pankaj Shelkey (1008586)"/>
    <x v="70"/>
    <d v="1899-12-30T08:15:54"/>
    <d v="1899-12-30T04:26:54"/>
    <d v="1899-12-30T00:39:59"/>
    <n v="33"/>
    <n v="0.51361161524500898"/>
  </r>
  <r>
    <s v="Hyd_Partha Sarathi (1008587)"/>
    <x v="71"/>
    <d v="1899-12-30T08:32:22"/>
    <d v="1899-12-30T05:11:39"/>
    <d v="1899-12-30T00:41:16"/>
    <n v="34"/>
    <n v="0.525112224318522"/>
  </r>
  <r>
    <s v="Hyd_Prabha Desikan (1008588)"/>
    <x v="72"/>
    <d v="1899-12-30T08:21:49"/>
    <d v="1899-12-30T03:03:51"/>
    <d v="1899-12-30T00:39:03"/>
    <n v="35"/>
    <n v="0.348600086352918"/>
  </r>
  <r>
    <s v="Hyd_Pramod Tiwari (1008589)"/>
    <x v="73"/>
    <d v="1899-12-30T08:25:20"/>
    <d v="1899-12-30T02:54:03"/>
    <d v="1899-12-30T00:39:59"/>
    <n v="36"/>
    <n v="0.314709762532982"/>
  </r>
  <r>
    <s v="Hyd_Prasannakumari S (1008590)"/>
    <x v="74"/>
    <d v="1899-12-30T08:08:02"/>
    <d v="1899-12-30T05:10:46"/>
    <d v="1899-12-30T00:39:50"/>
    <n v="37"/>
    <n v="0.55600710333993597"/>
  </r>
  <r>
    <s v="Hyd_Praveen Kumar (1008591)"/>
    <x v="75"/>
    <d v="1899-12-30T08:19:20"/>
    <d v="1899-12-30T04:08:46"/>
    <d v="1899-12-30T00:41:26"/>
    <n v="38"/>
    <n v="0.46221628838451301"/>
  </r>
  <r>
    <s v="Hyd_Rachel Mathew (1008592)"/>
    <x v="76"/>
    <d v="1899-12-30T08:25:36"/>
    <d v="1899-12-30T03:40:53"/>
    <d v="1899-12-30T00:36:50"/>
    <n v="39"/>
    <n v="0.39075685654008402"/>
  </r>
  <r>
    <s v="Hyd_Rachita Anupam (1008593)"/>
    <x v="77"/>
    <d v="1899-12-30T08:16:26"/>
    <d v="1899-12-30T05:16:03"/>
    <d v="1899-12-30T00:43:23"/>
    <n v="40"/>
    <n v="0.54713623850130899"/>
  </r>
  <r>
    <s v="Hyd_Rachna Chauhan (1008594)"/>
    <x v="78"/>
    <d v="1899-12-30T07:36:07"/>
    <d v="1899-12-30T05:07:23"/>
    <d v="1899-12-30T00:00:00"/>
    <n v="41"/>
    <n v="0.61457229509993805"/>
  </r>
  <r>
    <s v="Hyd_Raj Kumar (1008595)"/>
    <x v="79"/>
    <d v="1899-12-30T08:09:57"/>
    <d v="1899-12-30T05:03:51"/>
    <d v="1899-12-30T00:39:14"/>
    <n v="42"/>
    <n v="0.55335578460387103"/>
  </r>
  <r>
    <s v="Hyd_Rajeev Garg (1008596)"/>
    <x v="80"/>
    <d v="1899-12-30T08:04:00"/>
    <d v="1899-12-30T05:05:29"/>
    <d v="1899-12-30T00:39:56"/>
    <n v="43"/>
    <n v="0.611363636363636"/>
  </r>
  <r>
    <s v="Hyd_Rajeev Kumar (1008597)"/>
    <x v="81"/>
    <d v="1899-12-30T07:59:43"/>
    <d v="1899-12-30T04:28:51"/>
    <d v="1899-12-30T00:39:40"/>
    <n v="44"/>
    <n v="0.51217732689434703"/>
  </r>
  <r>
    <s v="Hyd_Rajendra Gupta (1008598)"/>
    <x v="82"/>
    <d v="1899-12-30T08:25:57"/>
    <d v="1899-12-30T04:58:12"/>
    <d v="1899-12-30T00:40:05"/>
    <n v="45"/>
    <n v="0.56029910728991705"/>
  </r>
  <r>
    <s v="Hyd_Rajendra Kumar (1008599)"/>
    <x v="83"/>
    <d v="1899-12-30T08:14:44"/>
    <d v="1899-12-30T03:55:22"/>
    <d v="1899-12-30T00:41:03"/>
    <n v="46"/>
    <n v="0.42891793558819602"/>
  </r>
  <r>
    <s v="Hyd_Rajendra Prasad (1008600)"/>
    <x v="84"/>
    <d v="1899-12-30T08:22:34"/>
    <d v="1899-12-30T00:48:33"/>
    <d v="1899-12-30T00:39:47"/>
    <n v="47"/>
    <n v="9.4547987000066294E-2"/>
  </r>
  <r>
    <s v="Hyd_Rajesh Kumar (1008601)"/>
    <x v="85"/>
    <d v="1899-12-30T08:00:39"/>
    <d v="1899-12-30T05:11:50"/>
    <d v="1899-12-30T00:39:36"/>
    <n v="48"/>
    <n v="0.61021533340268397"/>
  </r>
  <r>
    <s v="Hyd_Rajesh Kumar (1008602)"/>
    <x v="85"/>
    <d v="1899-12-30T08:17:39"/>
    <d v="1899-12-30T04:49:40"/>
    <d v="1899-12-30T00:39:59"/>
    <n v="49"/>
    <n v="0.51260926353863201"/>
  </r>
  <r>
    <s v="Hyd_Rajesh Sharma (1008603)"/>
    <x v="86"/>
    <d v="1899-12-30T05:04:31"/>
    <d v="1899-12-30T03:24:21"/>
    <d v="1899-12-30T00:00:00"/>
    <n v="50"/>
    <n v="0.62426796562859199"/>
  </r>
  <r>
    <s v="Hyd_Raji Abraham (1008604)"/>
    <x v="87"/>
    <d v="1899-12-30T08:10:41"/>
    <d v="1899-12-30T04:44:35"/>
    <d v="1899-12-30T00:39:46"/>
    <n v="51"/>
    <n v="0.54373153085832704"/>
  </r>
  <r>
    <s v="Hyd_Rajshree Dhabekar (1008605)"/>
    <x v="88"/>
    <d v="1899-12-30T08:15:13"/>
    <e v="#VALUE!"/>
    <d v="1899-12-30T00:40:05"/>
    <n v="52"/>
    <n v="0"/>
  </r>
  <r>
    <s v="Hyd_Rakhi Jodhani (1008606)"/>
    <x v="89"/>
    <d v="1899-12-30T08:02:52"/>
    <d v="1899-12-30T01:13:06"/>
    <d v="1899-12-30T00:39:17"/>
    <n v="53"/>
    <n v="0.14431174927516199"/>
  </r>
  <r>
    <s v="Hyd_Ramji Prasad (1008607)"/>
    <x v="90"/>
    <d v="1899-12-30T08:19:26"/>
    <d v="1899-12-30T04:53:04"/>
    <d v="1899-12-30T00:39:33"/>
    <n v="54"/>
    <n v="0.55259293866381898"/>
  </r>
  <r>
    <s v="Del_Rashid (1008608)"/>
    <x v="91"/>
    <d v="1899-12-30T08:02:10"/>
    <d v="1899-12-30T01:36:08"/>
    <d v="1899-12-30T00:39:52"/>
    <n v="55"/>
    <n v="0.18938817836156199"/>
  </r>
  <r>
    <s v="Del_Rashmi Gajbe (1008609)"/>
    <x v="92"/>
    <d v="1899-12-30T08:20:42"/>
    <d v="1899-12-30T04:16:57"/>
    <d v="1899-12-30T00:37:12"/>
    <n v="56"/>
    <n v="0.47077424938419499"/>
  </r>
  <r>
    <s v="Del_Ravi Kumar (1008610)"/>
    <x v="93"/>
    <d v="1899-12-30T08:00:44"/>
    <d v="1899-12-30T04:47:03"/>
    <d v="1899-12-30T00:39:42"/>
    <n v="57"/>
    <n v="0.53862155040909698"/>
  </r>
  <r>
    <s v="Del_Ravinder Kaur (1008611)"/>
    <x v="94"/>
    <d v="1899-12-30T08:01:53"/>
    <d v="1899-12-30T04:38:57"/>
    <d v="1899-12-30T00:38:25"/>
    <n v="58"/>
    <n v="0.53294365856189296"/>
  </r>
  <r>
    <s v="Del_Rekha Agarwal (1008612)"/>
    <x v="95"/>
    <d v="1899-12-30T05:53:52"/>
    <d v="1899-12-30T02:53:07"/>
    <d v="1899-12-30T00:21:26"/>
    <n v="59"/>
    <n v="0.41310286360211002"/>
  </r>
  <r>
    <s v="Del_Rekha Gupta (1008613)"/>
    <x v="96"/>
    <d v="1899-12-30T08:16:02"/>
    <d v="1899-12-30T04:22:52"/>
    <d v="1899-12-30T00:39:54"/>
    <n v="60"/>
    <n v="0.50483838451717"/>
  </r>
  <r>
    <s v="Del_Rekha Jain  (1008614)"/>
    <x v="97"/>
    <d v="1899-12-30T08:15:42"/>
    <d v="1899-12-30T04:25:29"/>
    <d v="1899-12-30T00:37:35"/>
    <n v="61"/>
    <n v="0.52390558805729304"/>
  </r>
  <r>
    <s v="Del_Renu Pratap (1008615)"/>
    <x v="98"/>
    <d v="1899-12-30T08:16:30"/>
    <d v="1899-12-30T02:30:29"/>
    <d v="1899-12-30T00:38:05"/>
    <n v="62"/>
    <n v="0.25444780127559602"/>
  </r>
  <r>
    <s v="Del_Ritu Bhatnagar (1008616)"/>
    <x v="99"/>
    <d v="1899-12-30T08:01:48"/>
    <d v="1899-12-30T04:52:13"/>
    <d v="1899-12-30T00:42:29"/>
    <n v="63"/>
    <n v="0.55517503805174995"/>
  </r>
  <r>
    <s v="Del_Rohit Nishchal (1008617)"/>
    <x v="100"/>
    <d v="1899-12-30T08:17:09"/>
    <e v="#VALUE!"/>
    <d v="1899-12-30T00:39:58"/>
    <n v="64"/>
    <n v="0"/>
  </r>
  <r>
    <s v="Del_Roli Bhatnagar (1008618)"/>
    <x v="101"/>
    <d v="1899-12-30T08:15:43"/>
    <d v="1899-12-30T04:08:30"/>
    <d v="1899-12-30T00:39:45"/>
    <n v="65"/>
    <n v="0.477120667047709"/>
  </r>
  <r>
    <s v="Del_Roma Rastogi (1008619)"/>
    <x v="102"/>
    <d v="1899-12-30T08:31:02"/>
    <d v="1899-12-30T05:35:38"/>
    <d v="1899-12-30T00:28:00"/>
    <n v="66"/>
    <n v="0.61917030852521004"/>
  </r>
  <r>
    <s v="Del_Roohi Haider (1008620)"/>
    <x v="103"/>
    <d v="1899-12-30T08:00:11"/>
    <d v="1899-12-30T04:52:11"/>
    <d v="1899-12-30T00:39:10"/>
    <n v="67"/>
    <n v="0.55305265350039901"/>
  </r>
  <r>
    <s v="Del_Sajid Naqvi (1008621)"/>
    <x v="104"/>
    <d v="1899-12-30T08:15:48"/>
    <d v="1899-12-30T05:00:37"/>
    <d v="1899-12-30T00:40:48"/>
    <n v="68"/>
    <n v="0.56195374478956595"/>
  </r>
  <r>
    <s v="Del_Salim (1008622)"/>
    <x v="105"/>
    <d v="1899-12-30T08:15:56"/>
    <d v="1899-12-30T04:37:42"/>
    <d v="1899-12-30T00:39:49"/>
    <n v="69"/>
    <n v="0.48780077967468699"/>
  </r>
  <r>
    <s v="Del_Sanjay Hire (1008623)"/>
    <x v="106"/>
    <d v="1899-12-30T08:15:52"/>
    <d v="1899-12-30T05:00:14"/>
    <d v="1899-12-30T00:39:16"/>
    <n v="70"/>
    <n v="0.55414762032804499"/>
  </r>
  <r>
    <s v="Del_Sanjiv Subherwal (1008624)"/>
    <x v="107"/>
    <d v="1899-12-30T08:02:17"/>
    <d v="1899-12-30T05:06:07"/>
    <d v="1899-12-30T00:40:08"/>
    <n v="71"/>
    <n v="0.58651553374572396"/>
  </r>
  <r>
    <s v="Del_Sanju Ramdas (1008625)"/>
    <x v="108"/>
    <d v="1899-12-30T08:15:58"/>
    <d v="1899-12-30T05:19:44"/>
    <d v="1899-12-30T00:39:47"/>
    <n v="72"/>
    <n v="0.58165871362322696"/>
  </r>
  <r>
    <s v="Del_Santosh Kumar (1008626)"/>
    <x v="109"/>
    <d v="1899-12-30T08:00:32"/>
    <d v="1899-12-30T05:03:10"/>
    <d v="1899-12-30T00:39:52"/>
    <n v="73"/>
    <n v="0.59073251942286398"/>
  </r>
  <r>
    <s v="Del_Santosh Kumar (1008627)"/>
    <x v="109"/>
    <d v="1899-12-30T08:17:04"/>
    <d v="1899-12-30T05:09:57"/>
    <d v="1899-12-30T00:40:01"/>
    <n v="74"/>
    <n v="0.58640692060085797"/>
  </r>
  <r>
    <s v="Del_Santosh Kumar (1008628)"/>
    <x v="109"/>
    <d v="1899-12-30T08:02:59"/>
    <d v="1899-12-30T04:44:19"/>
    <d v="1899-12-30T00:41:46"/>
    <n v="75"/>
    <n v="0.54653369681493502"/>
  </r>
  <r>
    <s v="Del_Sapna Sharma (1008629)"/>
    <x v="110"/>
    <d v="1899-12-30T08:04:14"/>
    <d v="1899-12-30T04:33:29"/>
    <d v="1899-12-30T00:38:46"/>
    <n v="76"/>
    <n v="0.53238796723342696"/>
  </r>
  <r>
    <s v="Del_Saroj Parita (1008630)"/>
    <x v="111"/>
    <d v="1899-12-30T08:01:59"/>
    <d v="1899-12-30T04:31:42"/>
    <d v="1899-12-30T00:42:28"/>
    <n v="77"/>
    <n v="0.47020989660776702"/>
  </r>
  <r>
    <s v="Del_Shailaja Kamal (1008631)"/>
    <x v="112"/>
    <d v="1899-12-30T08:09:14"/>
    <d v="1899-12-30T04:51:46"/>
    <d v="1899-12-30T00:38:40"/>
    <n v="78"/>
    <n v="0.54633099407235797"/>
  </r>
  <r>
    <s v="Del_Shailendra Barge (1008632)"/>
    <x v="113"/>
    <d v="1899-12-30T08:17:38"/>
    <d v="1899-12-30T03:26:09"/>
    <d v="1899-12-30T00:39:40"/>
    <n v="79"/>
    <n v="0.38820416638756799"/>
  </r>
  <r>
    <s v="Del_Shankar Attendant (1008633)"/>
    <x v="114"/>
    <d v="1899-12-30T07:57:56"/>
    <d v="1899-12-30T03:27:15"/>
    <d v="1899-12-30T00:39:24"/>
    <n v="80"/>
    <n v="0.40277584042404802"/>
  </r>
  <r>
    <s v="Del_Shashikant Tiwari (1008634)"/>
    <x v="115"/>
    <d v="1899-12-30T08:14:55"/>
    <d v="1899-12-30T05:19:10"/>
    <d v="1899-12-30T00:39:24"/>
    <n v="81"/>
    <n v="0.54352584610203702"/>
  </r>
  <r>
    <s v="Del_Sheeba Joseph (1008635)"/>
    <x v="116"/>
    <d v="1899-12-30T08:30:57"/>
    <d v="1899-12-30T03:41:07"/>
    <d v="1899-12-30T00:35:25"/>
    <n v="82"/>
    <n v="0.28371986821932998"/>
  </r>
  <r>
    <s v="Del_Sheena Joseph (1008636)"/>
    <x v="117"/>
    <d v="1899-12-30T08:49:34"/>
    <d v="1899-12-30T05:10:26"/>
    <d v="1899-12-30T00:41:10"/>
    <n v="83"/>
    <n v="0.56196890539434796"/>
  </r>
  <r>
    <s v="Del_Shephali Jain (1008637)"/>
    <x v="118"/>
    <d v="1899-12-30T08:25:43"/>
    <d v="1899-12-30T03:41:29"/>
    <d v="1899-12-30T00:39:39"/>
    <n v="84"/>
    <n v="0.40332201825791802"/>
  </r>
  <r>
    <s v="Del_Shivji Prasad (1008638)"/>
    <x v="119"/>
    <d v="1899-12-30T08:11:40"/>
    <d v="1899-12-30T04:12:39"/>
    <d v="1899-12-30T00:39:24"/>
    <n v="85"/>
    <n v="0.43796610169491501"/>
  </r>
  <r>
    <s v="Del_Shubhanjali Joshi (1008639)"/>
    <x v="120"/>
    <d v="1899-12-30T08:17:17"/>
    <d v="1899-12-30T04:54:52"/>
    <d v="1899-12-30T00:39:30"/>
    <n v="86"/>
    <n v="0.55581995508931903"/>
  </r>
  <r>
    <s v="Del_Shyamal Malakar (1008640)"/>
    <x v="121"/>
    <d v="1899-12-30T08:15:36"/>
    <d v="1899-12-30T02:53:35"/>
    <d v="1899-12-30T00:39:28"/>
    <n v="87"/>
    <n v="0.326035781544256"/>
  </r>
  <r>
    <s v="Del_Sneh Khan (1008641)"/>
    <x v="122"/>
    <d v="1899-12-30T08:09:15"/>
    <d v="1899-12-30T05:06:25"/>
    <d v="1899-12-30T00:39:49"/>
    <n v="88"/>
    <n v="0.57404190086867701"/>
  </r>
  <r>
    <s v="Del_Sonaram Munda (1008642)"/>
    <x v="123"/>
    <d v="1899-12-30T08:00:41"/>
    <d v="1899-12-30T04:11:10"/>
    <d v="1899-12-30T00:39:48"/>
    <n v="89"/>
    <n v="0.45359037481363301"/>
  </r>
  <r>
    <s v="Del_Sudama Kumar (1008643)"/>
    <x v="124"/>
    <d v="1899-12-30T08:09:47"/>
    <d v="1899-12-30T02:38:49"/>
    <d v="1899-12-30T00:39:05"/>
    <n v="90"/>
    <n v="0.29689998979140397"/>
  </r>
  <r>
    <s v="Del_Sudhir Kumar (1008644)"/>
    <x v="125"/>
    <d v="1899-12-30T08:00:18"/>
    <d v="1899-12-30T04:35:36"/>
    <d v="1899-12-30T00:43:27"/>
    <n v="91"/>
    <n v="0.55729058227496697"/>
  </r>
  <r>
    <s v="Del_Sunil Kumar (1008645)"/>
    <x v="126"/>
    <d v="1899-12-30T08:03:26"/>
    <d v="1899-12-30T02:58:37"/>
    <d v="1899-12-30T00:40:09"/>
    <n v="92"/>
    <n v="0.33279321519685601"/>
  </r>
  <r>
    <s v="Del_Sunil Kumar (1008646)"/>
    <x v="126"/>
    <d v="1899-12-30T08:05:06"/>
    <d v="1899-12-30T04:05:03"/>
    <d v="1899-12-30T00:35:18"/>
    <n v="93"/>
    <n v="0.472308115165258"/>
  </r>
  <r>
    <s v="Del_Sunita Chawla (1008647)"/>
    <x v="127"/>
    <d v="1899-12-30T08:05:25"/>
    <d v="1899-12-30T04:31:57"/>
    <d v="1899-12-30T00:40:03"/>
    <n v="94"/>
    <n v="0.51110729613733896"/>
  </r>
  <r>
    <s v="Del_Sunita Madnani (1008648)"/>
    <x v="128"/>
    <d v="1899-12-30T08:14:02"/>
    <d v="1899-12-30T05:19:12"/>
    <d v="1899-12-30T00:40:15"/>
    <n v="95"/>
    <n v="0.58886040078267299"/>
  </r>
  <r>
    <s v="Del_Surendra Kumar (1008649)"/>
    <x v="129"/>
    <d v="1899-12-30T07:29:10"/>
    <d v="1899-12-30T02:54:25"/>
    <d v="1899-12-30T00:00:00"/>
    <n v="96"/>
    <n v="0.34289424860853401"/>
  </r>
  <r>
    <s v="Del_Surendranath Thakur (1008650)"/>
    <x v="130"/>
    <d v="1899-12-30T08:33:53"/>
    <d v="1899-12-30T04:36:50"/>
    <d v="1899-12-30T00:39:42"/>
    <n v="97"/>
    <n v="0.497486459313074"/>
  </r>
  <r>
    <s v="Del_Sushma Khandelwal (1008651)"/>
    <x v="131"/>
    <d v="1899-12-30T08:15:15"/>
    <d v="1899-12-30T04:50:07"/>
    <d v="1899-12-30T00:40:10"/>
    <n v="98"/>
    <n v="0.52431431936732298"/>
  </r>
  <r>
    <s v="Del_Swarnlata Borse (1008652)"/>
    <x v="132"/>
    <d v="1899-12-30T08:19:05"/>
    <d v="1899-12-30T02:59:39"/>
    <d v="1899-12-30T00:39:22"/>
    <n v="99"/>
    <n v="0.31066956086157999"/>
  </r>
  <r>
    <s v="Del_Syed Naved (1008653)"/>
    <x v="133"/>
    <d v="1899-12-30T08:13:39"/>
    <d v="1899-12-30T05:24:05"/>
    <d v="1899-12-30T00:34:44"/>
    <n v="100"/>
    <n v="0.58462473412336702"/>
  </r>
  <r>
    <s v="Del_Syed Saqib (1008654)"/>
    <x v="134"/>
    <d v="1899-12-30T08:24:48"/>
    <d v="1899-12-30T02:52:08"/>
    <d v="1899-12-30T00:37:49"/>
    <n v="101"/>
    <n v="0.31685816164817698"/>
  </r>
  <r>
    <s v="Del_Syed Sohail (1008655)"/>
    <x v="135"/>
    <d v="1899-12-30T08:17:53"/>
    <d v="1899-12-30T04:51:52"/>
    <d v="1899-12-30T00:39:45"/>
    <n v="102"/>
    <n v="0.56375322197301903"/>
  </r>
  <r>
    <s v="Del_System Operator (1008656)"/>
    <x v="136"/>
    <d v="1899-12-30T08:30:54"/>
    <d v="1899-12-30T05:15:36"/>
    <d v="1899-12-30T00:40:00"/>
    <n v="103"/>
    <n v="0.54779147908918902"/>
  </r>
  <r>
    <s v="Del_Tahira Qureshi (1008657)"/>
    <x v="137"/>
    <d v="1899-12-30T08:46:13"/>
    <d v="1899-12-30T03:36:51"/>
    <d v="1899-12-30T00:43:30"/>
    <n v="104"/>
    <n v="0.37965983593576802"/>
  </r>
  <r>
    <s v="Del_Tapas Chakraborty (1008658)"/>
    <x v="138"/>
    <d v="1899-12-30T08:14:56"/>
    <d v="1899-12-30T05:15:14"/>
    <d v="1899-12-30T00:34:07"/>
    <n v="105"/>
    <n v="0.56529498922413801"/>
  </r>
  <r>
    <s v="Del_Tariq Akhlaq (1008659)"/>
    <x v="139"/>
    <d v="1899-12-30T04:59:55"/>
    <d v="1899-12-30T03:08:41"/>
    <d v="1899-12-30T00:00:00"/>
    <n v="106"/>
    <n v="0.60261183662128404"/>
  </r>
  <r>
    <s v="Del_Tasneem Khan (1008660)"/>
    <x v="140"/>
    <d v="1899-12-30T08:33:55"/>
    <d v="1899-12-30T04:38:49"/>
    <d v="1899-12-30T00:40:06"/>
    <n v="107"/>
    <n v="0.49813523593319298"/>
  </r>
  <r>
    <m/>
    <x v="14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">
  <location ref="A4:B10" firstHeaderRow="1" firstDataRow="1" firstDataCol="1"/>
  <pivotFields count="7">
    <pivotField showAll="0"/>
    <pivotField axis="axisRow" showAll="0">
      <items count="14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Emp Total Number of working Hours." fld="2" baseField="1" baseItem="0" numFmtId="165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15" zoomScaleNormal="115" workbookViewId="0">
      <selection sqref="A1:I150"/>
    </sheetView>
  </sheetViews>
  <sheetFormatPr defaultRowHeight="15" x14ac:dyDescent="0.25"/>
  <cols>
    <col min="1" max="1" width="35.85546875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1" customFormat="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25">
      <c r="A2" s="2" t="s">
        <v>854</v>
      </c>
      <c r="B2" s="6" t="s">
        <v>9</v>
      </c>
      <c r="C2" s="6" t="s">
        <v>10</v>
      </c>
      <c r="D2" s="6" t="s">
        <v>11</v>
      </c>
      <c r="E2" s="6" t="s">
        <v>11</v>
      </c>
      <c r="F2" s="6" t="s">
        <v>11</v>
      </c>
      <c r="G2" s="6" t="s">
        <v>11</v>
      </c>
      <c r="H2" s="6" t="s">
        <v>11</v>
      </c>
      <c r="I2" s="6" t="s">
        <v>12</v>
      </c>
    </row>
    <row r="3" spans="1:9" x14ac:dyDescent="0.25">
      <c r="A3" s="2" t="s">
        <v>855</v>
      </c>
      <c r="B3" s="6" t="s">
        <v>13</v>
      </c>
      <c r="C3" s="6" t="s">
        <v>14</v>
      </c>
      <c r="D3" s="6" t="s">
        <v>11</v>
      </c>
      <c r="E3" s="6" t="s">
        <v>11</v>
      </c>
      <c r="F3" s="6" t="s">
        <v>11</v>
      </c>
      <c r="G3" s="6" t="s">
        <v>11</v>
      </c>
      <c r="H3" s="6" t="s">
        <v>11</v>
      </c>
      <c r="I3" s="6" t="s">
        <v>15</v>
      </c>
    </row>
    <row r="4" spans="1:9" x14ac:dyDescent="0.25">
      <c r="A4" s="2" t="s">
        <v>856</v>
      </c>
      <c r="B4" s="6" t="s">
        <v>16</v>
      </c>
      <c r="C4" s="6" t="s">
        <v>17</v>
      </c>
      <c r="D4" s="6" t="s">
        <v>11</v>
      </c>
      <c r="E4" s="6" t="s">
        <v>11</v>
      </c>
      <c r="F4" s="6" t="s">
        <v>11</v>
      </c>
      <c r="G4" s="6" t="s">
        <v>18</v>
      </c>
      <c r="H4" s="6" t="s">
        <v>11</v>
      </c>
      <c r="I4" s="6" t="s">
        <v>19</v>
      </c>
    </row>
    <row r="5" spans="1:9" x14ac:dyDescent="0.25">
      <c r="A5" s="2" t="s">
        <v>857</v>
      </c>
      <c r="B5" s="6" t="s">
        <v>20</v>
      </c>
      <c r="C5" s="6" t="s">
        <v>21</v>
      </c>
      <c r="D5" s="6" t="s">
        <v>22</v>
      </c>
      <c r="E5" s="6" t="s">
        <v>11</v>
      </c>
      <c r="F5" s="6" t="s">
        <v>11</v>
      </c>
      <c r="G5" s="6" t="s">
        <v>11</v>
      </c>
      <c r="H5" s="6" t="s">
        <v>11</v>
      </c>
      <c r="I5" s="6" t="s">
        <v>23</v>
      </c>
    </row>
    <row r="6" spans="1:9" x14ac:dyDescent="0.25">
      <c r="A6" s="2" t="s">
        <v>858</v>
      </c>
      <c r="B6" s="6" t="s">
        <v>11</v>
      </c>
      <c r="C6" s="6" t="s">
        <v>24</v>
      </c>
      <c r="D6" s="6" t="s">
        <v>11</v>
      </c>
      <c r="E6" s="6" t="s">
        <v>11</v>
      </c>
      <c r="F6" s="6" t="s">
        <v>25</v>
      </c>
      <c r="G6" s="6" t="s">
        <v>11</v>
      </c>
      <c r="H6" s="6" t="s">
        <v>26</v>
      </c>
      <c r="I6" s="6" t="s">
        <v>27</v>
      </c>
    </row>
    <row r="7" spans="1:9" x14ac:dyDescent="0.25">
      <c r="A7" s="2" t="s">
        <v>859</v>
      </c>
      <c r="B7" s="6" t="s">
        <v>11</v>
      </c>
      <c r="C7" s="6" t="s">
        <v>28</v>
      </c>
      <c r="D7" s="6" t="s">
        <v>11</v>
      </c>
      <c r="E7" s="6" t="s">
        <v>11</v>
      </c>
      <c r="F7" s="6" t="s">
        <v>11</v>
      </c>
      <c r="G7" s="6" t="s">
        <v>29</v>
      </c>
      <c r="H7" s="6" t="s">
        <v>11</v>
      </c>
      <c r="I7" s="6" t="s">
        <v>30</v>
      </c>
    </row>
    <row r="8" spans="1:9" x14ac:dyDescent="0.25">
      <c r="A8" s="2" t="s">
        <v>860</v>
      </c>
      <c r="B8" s="6" t="s">
        <v>31</v>
      </c>
      <c r="C8" s="6" t="s">
        <v>32</v>
      </c>
      <c r="D8" s="6" t="s">
        <v>11</v>
      </c>
      <c r="E8" s="6" t="s">
        <v>11</v>
      </c>
      <c r="F8" s="6" t="s">
        <v>11</v>
      </c>
      <c r="G8" s="6" t="s">
        <v>11</v>
      </c>
      <c r="H8" s="6" t="s">
        <v>33</v>
      </c>
      <c r="I8" s="6" t="s">
        <v>34</v>
      </c>
    </row>
    <row r="9" spans="1:9" x14ac:dyDescent="0.25">
      <c r="A9" s="2" t="s">
        <v>861</v>
      </c>
      <c r="B9" s="6" t="s">
        <v>35</v>
      </c>
      <c r="C9" s="6" t="s">
        <v>36</v>
      </c>
      <c r="D9" s="6" t="s">
        <v>11</v>
      </c>
      <c r="E9" s="6" t="s">
        <v>11</v>
      </c>
      <c r="F9" s="6" t="s">
        <v>11</v>
      </c>
      <c r="G9" s="6" t="s">
        <v>11</v>
      </c>
      <c r="H9" s="6" t="s">
        <v>11</v>
      </c>
      <c r="I9" s="6" t="s">
        <v>37</v>
      </c>
    </row>
    <row r="10" spans="1:9" x14ac:dyDescent="0.25">
      <c r="A10" s="2" t="s">
        <v>862</v>
      </c>
      <c r="B10" s="6" t="s">
        <v>38</v>
      </c>
      <c r="C10" s="6" t="s">
        <v>39</v>
      </c>
      <c r="D10" s="6" t="s">
        <v>11</v>
      </c>
      <c r="E10" s="6" t="s">
        <v>11</v>
      </c>
      <c r="F10" s="6" t="s">
        <v>11</v>
      </c>
      <c r="G10" s="6" t="s">
        <v>11</v>
      </c>
      <c r="H10" s="6" t="s">
        <v>11</v>
      </c>
      <c r="I10" s="6" t="s">
        <v>40</v>
      </c>
    </row>
    <row r="11" spans="1:9" x14ac:dyDescent="0.25">
      <c r="A11" s="2" t="s">
        <v>863</v>
      </c>
      <c r="B11" s="6" t="s">
        <v>41</v>
      </c>
      <c r="C11" s="6" t="s">
        <v>42</v>
      </c>
      <c r="D11" s="6" t="s">
        <v>11</v>
      </c>
      <c r="E11" s="6" t="s">
        <v>11</v>
      </c>
      <c r="F11" s="6" t="s">
        <v>11</v>
      </c>
      <c r="G11" s="6" t="s">
        <v>11</v>
      </c>
      <c r="H11" s="6" t="s">
        <v>11</v>
      </c>
      <c r="I11" s="6" t="s">
        <v>43</v>
      </c>
    </row>
    <row r="12" spans="1:9" x14ac:dyDescent="0.25">
      <c r="A12" s="2" t="s">
        <v>864</v>
      </c>
      <c r="B12" s="6" t="s">
        <v>44</v>
      </c>
      <c r="C12" s="6" t="s">
        <v>45</v>
      </c>
      <c r="D12" s="6" t="s">
        <v>11</v>
      </c>
      <c r="E12" s="6" t="s">
        <v>11</v>
      </c>
      <c r="F12" s="6" t="s">
        <v>11</v>
      </c>
      <c r="G12" s="6" t="s">
        <v>11</v>
      </c>
      <c r="H12" s="6" t="s">
        <v>11</v>
      </c>
      <c r="I12" s="6" t="s">
        <v>46</v>
      </c>
    </row>
    <row r="13" spans="1:9" x14ac:dyDescent="0.25">
      <c r="A13" s="2" t="s">
        <v>865</v>
      </c>
      <c r="B13" s="6" t="s">
        <v>47</v>
      </c>
      <c r="C13" s="6" t="s">
        <v>42</v>
      </c>
      <c r="D13" s="6" t="s">
        <v>11</v>
      </c>
      <c r="E13" s="6" t="s">
        <v>48</v>
      </c>
      <c r="F13" s="6" t="s">
        <v>10</v>
      </c>
      <c r="G13" s="6" t="s">
        <v>49</v>
      </c>
      <c r="H13" s="6" t="s">
        <v>11</v>
      </c>
      <c r="I13" s="6" t="s">
        <v>50</v>
      </c>
    </row>
    <row r="14" spans="1:9" x14ac:dyDescent="0.25">
      <c r="A14" s="2" t="s">
        <v>866</v>
      </c>
      <c r="B14" s="6" t="s">
        <v>51</v>
      </c>
      <c r="C14" s="6" t="s">
        <v>52</v>
      </c>
      <c r="D14" s="6" t="s">
        <v>11</v>
      </c>
      <c r="E14" s="6" t="s">
        <v>53</v>
      </c>
      <c r="F14" s="6" t="s">
        <v>11</v>
      </c>
      <c r="G14" s="6" t="s">
        <v>11</v>
      </c>
      <c r="H14" s="6" t="s">
        <v>11</v>
      </c>
      <c r="I14" s="6" t="s">
        <v>54</v>
      </c>
    </row>
    <row r="15" spans="1:9" x14ac:dyDescent="0.25">
      <c r="A15" s="2" t="s">
        <v>867</v>
      </c>
      <c r="B15" s="6" t="s">
        <v>55</v>
      </c>
      <c r="C15" s="6" t="s">
        <v>56</v>
      </c>
      <c r="D15" s="6" t="s">
        <v>11</v>
      </c>
      <c r="E15" s="6" t="s">
        <v>11</v>
      </c>
      <c r="F15" s="6" t="s">
        <v>11</v>
      </c>
      <c r="G15" s="6" t="s">
        <v>11</v>
      </c>
      <c r="H15" s="6" t="s">
        <v>11</v>
      </c>
      <c r="I15" s="6" t="s">
        <v>57</v>
      </c>
    </row>
    <row r="16" spans="1:9" x14ac:dyDescent="0.25">
      <c r="A16" s="2" t="s">
        <v>868</v>
      </c>
      <c r="B16" s="6" t="s">
        <v>58</v>
      </c>
      <c r="C16" s="6" t="s">
        <v>17</v>
      </c>
      <c r="D16" s="6" t="s">
        <v>11</v>
      </c>
      <c r="E16" s="6" t="s">
        <v>11</v>
      </c>
      <c r="F16" s="6" t="s">
        <v>11</v>
      </c>
      <c r="G16" s="6" t="s">
        <v>59</v>
      </c>
      <c r="H16" s="6" t="s">
        <v>11</v>
      </c>
      <c r="I16" s="6" t="s">
        <v>60</v>
      </c>
    </row>
    <row r="17" spans="1:9" x14ac:dyDescent="0.25">
      <c r="A17" s="2" t="s">
        <v>869</v>
      </c>
      <c r="B17" s="6" t="s">
        <v>61</v>
      </c>
      <c r="C17" s="6" t="s">
        <v>62</v>
      </c>
      <c r="D17" s="6" t="s">
        <v>63</v>
      </c>
      <c r="E17" s="6" t="s">
        <v>11</v>
      </c>
      <c r="F17" s="6" t="s">
        <v>11</v>
      </c>
      <c r="G17" s="6" t="s">
        <v>11</v>
      </c>
      <c r="H17" s="6" t="s">
        <v>11</v>
      </c>
      <c r="I17" s="6" t="s">
        <v>64</v>
      </c>
    </row>
    <row r="18" spans="1:9" x14ac:dyDescent="0.25">
      <c r="A18" s="2" t="s">
        <v>870</v>
      </c>
      <c r="B18" s="6" t="s">
        <v>65</v>
      </c>
      <c r="C18" s="6" t="s">
        <v>66</v>
      </c>
      <c r="D18" s="6" t="s">
        <v>11</v>
      </c>
      <c r="E18" s="6" t="s">
        <v>11</v>
      </c>
      <c r="F18" s="6" t="s">
        <v>11</v>
      </c>
      <c r="G18" s="6" t="s">
        <v>11</v>
      </c>
      <c r="H18" s="6" t="s">
        <v>11</v>
      </c>
      <c r="I18" s="6" t="s">
        <v>67</v>
      </c>
    </row>
    <row r="19" spans="1:9" x14ac:dyDescent="0.25">
      <c r="A19" s="2" t="s">
        <v>871</v>
      </c>
      <c r="B19" s="6" t="s">
        <v>68</v>
      </c>
      <c r="C19" s="6" t="s">
        <v>32</v>
      </c>
      <c r="D19" s="6" t="s">
        <v>11</v>
      </c>
      <c r="E19" s="6" t="s">
        <v>11</v>
      </c>
      <c r="F19" s="6" t="s">
        <v>11</v>
      </c>
      <c r="G19" s="6" t="s">
        <v>11</v>
      </c>
      <c r="H19" s="6" t="s">
        <v>11</v>
      </c>
      <c r="I19" s="6" t="s">
        <v>69</v>
      </c>
    </row>
    <row r="20" spans="1:9" x14ac:dyDescent="0.25">
      <c r="A20" s="2" t="s">
        <v>872</v>
      </c>
      <c r="B20" s="6" t="s">
        <v>70</v>
      </c>
      <c r="C20" s="6" t="s">
        <v>71</v>
      </c>
      <c r="D20" s="6" t="s">
        <v>11</v>
      </c>
      <c r="E20" s="6" t="s">
        <v>72</v>
      </c>
      <c r="F20" s="6" t="s">
        <v>73</v>
      </c>
      <c r="G20" s="6" t="s">
        <v>11</v>
      </c>
      <c r="H20" s="6" t="s">
        <v>11</v>
      </c>
      <c r="I20" s="6" t="s">
        <v>74</v>
      </c>
    </row>
    <row r="21" spans="1:9" x14ac:dyDescent="0.25">
      <c r="A21" s="2" t="s">
        <v>873</v>
      </c>
      <c r="B21" s="6" t="s">
        <v>75</v>
      </c>
      <c r="C21" s="6" t="s">
        <v>76</v>
      </c>
      <c r="D21" s="6" t="s">
        <v>11</v>
      </c>
      <c r="E21" s="6" t="s">
        <v>11</v>
      </c>
      <c r="F21" s="6" t="s">
        <v>11</v>
      </c>
      <c r="G21" s="6" t="s">
        <v>77</v>
      </c>
      <c r="H21" s="6" t="s">
        <v>11</v>
      </c>
      <c r="I21" s="6" t="s">
        <v>78</v>
      </c>
    </row>
    <row r="22" spans="1:9" x14ac:dyDescent="0.25">
      <c r="A22" s="2" t="s">
        <v>874</v>
      </c>
      <c r="B22" s="6" t="s">
        <v>79</v>
      </c>
      <c r="C22" s="6" t="s">
        <v>80</v>
      </c>
      <c r="D22" s="6" t="s">
        <v>11</v>
      </c>
      <c r="E22" s="6" t="s">
        <v>11</v>
      </c>
      <c r="F22" s="6" t="s">
        <v>11</v>
      </c>
      <c r="G22" s="6" t="s">
        <v>11</v>
      </c>
      <c r="H22" s="6" t="s">
        <v>11</v>
      </c>
      <c r="I22" s="6" t="s">
        <v>81</v>
      </c>
    </row>
    <row r="23" spans="1:9" x14ac:dyDescent="0.25">
      <c r="A23" s="2" t="s">
        <v>875</v>
      </c>
      <c r="B23" s="6" t="s">
        <v>82</v>
      </c>
      <c r="C23" s="6" t="s">
        <v>83</v>
      </c>
      <c r="D23" s="6" t="s">
        <v>11</v>
      </c>
      <c r="E23" s="6" t="s">
        <v>11</v>
      </c>
      <c r="F23" s="6" t="s">
        <v>11</v>
      </c>
      <c r="G23" s="6" t="s">
        <v>11</v>
      </c>
      <c r="H23" s="6" t="s">
        <v>11</v>
      </c>
      <c r="I23" s="6" t="s">
        <v>84</v>
      </c>
    </row>
    <row r="24" spans="1:9" x14ac:dyDescent="0.25">
      <c r="A24" s="2" t="s">
        <v>876</v>
      </c>
      <c r="B24" s="6" t="s">
        <v>85</v>
      </c>
      <c r="C24" s="6" t="s">
        <v>86</v>
      </c>
      <c r="D24" s="6" t="s">
        <v>87</v>
      </c>
      <c r="E24" s="6" t="s">
        <v>11</v>
      </c>
      <c r="F24" s="6" t="s">
        <v>11</v>
      </c>
      <c r="G24" s="6" t="s">
        <v>11</v>
      </c>
      <c r="H24" s="6" t="s">
        <v>11</v>
      </c>
      <c r="I24" s="6" t="s">
        <v>88</v>
      </c>
    </row>
    <row r="25" spans="1:9" x14ac:dyDescent="0.25">
      <c r="A25" s="2" t="s">
        <v>877</v>
      </c>
      <c r="B25" s="6" t="s">
        <v>89</v>
      </c>
      <c r="C25" s="6" t="s">
        <v>90</v>
      </c>
      <c r="D25" s="6" t="s">
        <v>11</v>
      </c>
      <c r="E25" s="6" t="s">
        <v>91</v>
      </c>
      <c r="F25" s="6" t="s">
        <v>11</v>
      </c>
      <c r="G25" s="6" t="s">
        <v>11</v>
      </c>
      <c r="H25" s="6" t="s">
        <v>11</v>
      </c>
      <c r="I25" s="6" t="s">
        <v>92</v>
      </c>
    </row>
    <row r="26" spans="1:9" x14ac:dyDescent="0.25">
      <c r="A26" s="2" t="s">
        <v>878</v>
      </c>
      <c r="B26" s="6" t="s">
        <v>93</v>
      </c>
      <c r="C26" s="6" t="s">
        <v>94</v>
      </c>
      <c r="D26" s="6" t="s">
        <v>11</v>
      </c>
      <c r="E26" s="6" t="s">
        <v>11</v>
      </c>
      <c r="F26" s="6" t="s">
        <v>11</v>
      </c>
      <c r="G26" s="6" t="s">
        <v>11</v>
      </c>
      <c r="H26" s="6" t="s">
        <v>11</v>
      </c>
      <c r="I26" s="6" t="s">
        <v>95</v>
      </c>
    </row>
    <row r="27" spans="1:9" x14ac:dyDescent="0.25">
      <c r="A27" s="2" t="s">
        <v>879</v>
      </c>
      <c r="B27" s="6" t="s">
        <v>11</v>
      </c>
      <c r="C27" s="6" t="s">
        <v>96</v>
      </c>
      <c r="D27" s="6" t="s">
        <v>11</v>
      </c>
      <c r="E27" s="6" t="s">
        <v>11</v>
      </c>
      <c r="F27" s="6" t="s">
        <v>11</v>
      </c>
      <c r="G27" s="6" t="s">
        <v>11</v>
      </c>
      <c r="H27" s="6" t="s">
        <v>11</v>
      </c>
      <c r="I27" s="6" t="s">
        <v>97</v>
      </c>
    </row>
    <row r="28" spans="1:9" x14ac:dyDescent="0.25">
      <c r="A28" s="2" t="s">
        <v>880</v>
      </c>
      <c r="B28" s="6" t="s">
        <v>98</v>
      </c>
      <c r="C28" s="6" t="s">
        <v>99</v>
      </c>
      <c r="D28" s="6" t="s">
        <v>11</v>
      </c>
      <c r="E28" s="6" t="s">
        <v>11</v>
      </c>
      <c r="F28" s="6" t="s">
        <v>11</v>
      </c>
      <c r="G28" s="6" t="s">
        <v>11</v>
      </c>
      <c r="H28" s="6" t="s">
        <v>11</v>
      </c>
      <c r="I28" s="6" t="s">
        <v>100</v>
      </c>
    </row>
    <row r="29" spans="1:9" x14ac:dyDescent="0.25">
      <c r="A29" s="2" t="s">
        <v>881</v>
      </c>
      <c r="B29" s="6" t="s">
        <v>101</v>
      </c>
      <c r="C29" s="6" t="s">
        <v>102</v>
      </c>
      <c r="D29" s="6" t="s">
        <v>11</v>
      </c>
      <c r="E29" s="6" t="s">
        <v>11</v>
      </c>
      <c r="F29" s="6" t="s">
        <v>11</v>
      </c>
      <c r="G29" s="6" t="s">
        <v>11</v>
      </c>
      <c r="H29" s="6" t="s">
        <v>11</v>
      </c>
      <c r="I29" s="6" t="s">
        <v>103</v>
      </c>
    </row>
    <row r="30" spans="1:9" x14ac:dyDescent="0.25">
      <c r="A30" s="2" t="s">
        <v>882</v>
      </c>
      <c r="B30" s="6" t="s">
        <v>104</v>
      </c>
      <c r="C30" s="6" t="s">
        <v>105</v>
      </c>
      <c r="D30" s="6" t="s">
        <v>11</v>
      </c>
      <c r="E30" s="6" t="s">
        <v>106</v>
      </c>
      <c r="F30" s="6" t="s">
        <v>107</v>
      </c>
      <c r="G30" s="6" t="s">
        <v>11</v>
      </c>
      <c r="H30" s="6" t="s">
        <v>11</v>
      </c>
      <c r="I30" s="6" t="s">
        <v>108</v>
      </c>
    </row>
    <row r="31" spans="1:9" x14ac:dyDescent="0.25">
      <c r="A31" s="2" t="s">
        <v>883</v>
      </c>
      <c r="B31" s="6" t="s">
        <v>11</v>
      </c>
      <c r="C31" s="6" t="s">
        <v>109</v>
      </c>
      <c r="D31" s="6" t="s">
        <v>11</v>
      </c>
      <c r="E31" s="6" t="s">
        <v>11</v>
      </c>
      <c r="F31" s="6" t="s">
        <v>110</v>
      </c>
      <c r="G31" s="6" t="s">
        <v>111</v>
      </c>
      <c r="H31" s="6" t="s">
        <v>11</v>
      </c>
      <c r="I31" s="6" t="s">
        <v>112</v>
      </c>
    </row>
    <row r="32" spans="1:9" x14ac:dyDescent="0.25">
      <c r="A32" s="2" t="s">
        <v>884</v>
      </c>
      <c r="B32" s="6" t="s">
        <v>89</v>
      </c>
      <c r="C32" s="6" t="s">
        <v>113</v>
      </c>
      <c r="D32" s="6" t="s">
        <v>11</v>
      </c>
      <c r="E32" s="6" t="s">
        <v>11</v>
      </c>
      <c r="F32" s="6" t="s">
        <v>11</v>
      </c>
      <c r="G32" s="6" t="s">
        <v>11</v>
      </c>
      <c r="H32" s="6" t="s">
        <v>11</v>
      </c>
      <c r="I32" s="6" t="s">
        <v>46</v>
      </c>
    </row>
    <row r="33" spans="1:9" x14ac:dyDescent="0.25">
      <c r="A33" s="2" t="s">
        <v>885</v>
      </c>
      <c r="B33" s="6" t="s">
        <v>114</v>
      </c>
      <c r="C33" s="6" t="s">
        <v>115</v>
      </c>
      <c r="D33" s="6" t="s">
        <v>11</v>
      </c>
      <c r="E33" s="6" t="s">
        <v>116</v>
      </c>
      <c r="F33" s="6" t="s">
        <v>11</v>
      </c>
      <c r="G33" s="6" t="s">
        <v>11</v>
      </c>
      <c r="H33" s="6" t="s">
        <v>11</v>
      </c>
      <c r="I33" s="6" t="s">
        <v>117</v>
      </c>
    </row>
    <row r="34" spans="1:9" x14ac:dyDescent="0.25">
      <c r="A34" s="2" t="s">
        <v>886</v>
      </c>
      <c r="B34" s="6" t="s">
        <v>61</v>
      </c>
      <c r="C34" s="6" t="s">
        <v>118</v>
      </c>
      <c r="D34" s="6" t="s">
        <v>11</v>
      </c>
      <c r="E34" s="6" t="s">
        <v>11</v>
      </c>
      <c r="F34" s="6" t="s">
        <v>11</v>
      </c>
      <c r="G34" s="6" t="s">
        <v>11</v>
      </c>
      <c r="H34" s="6" t="s">
        <v>11</v>
      </c>
      <c r="I34" s="6" t="s">
        <v>119</v>
      </c>
    </row>
    <row r="35" spans="1:9" x14ac:dyDescent="0.25">
      <c r="A35" s="2" t="s">
        <v>887</v>
      </c>
      <c r="B35" s="6" t="s">
        <v>120</v>
      </c>
      <c r="C35" s="6" t="s">
        <v>121</v>
      </c>
      <c r="D35" s="6" t="s">
        <v>11</v>
      </c>
      <c r="E35" s="6" t="s">
        <v>11</v>
      </c>
      <c r="F35" s="6" t="s">
        <v>11</v>
      </c>
      <c r="G35" s="6" t="s">
        <v>11</v>
      </c>
      <c r="H35" s="6" t="s">
        <v>11</v>
      </c>
      <c r="I35" s="6" t="s">
        <v>122</v>
      </c>
    </row>
    <row r="36" spans="1:9" x14ac:dyDescent="0.25">
      <c r="A36" s="2" t="s">
        <v>888</v>
      </c>
      <c r="B36" s="6" t="s">
        <v>11</v>
      </c>
      <c r="C36" s="6" t="s">
        <v>123</v>
      </c>
      <c r="D36" s="6" t="s">
        <v>124</v>
      </c>
      <c r="E36" s="6" t="s">
        <v>11</v>
      </c>
      <c r="F36" s="6" t="s">
        <v>11</v>
      </c>
      <c r="G36" s="6" t="s">
        <v>11</v>
      </c>
      <c r="H36" s="6" t="s">
        <v>11</v>
      </c>
      <c r="I36" s="6" t="s">
        <v>125</v>
      </c>
    </row>
    <row r="37" spans="1:9" x14ac:dyDescent="0.25">
      <c r="A37" s="2" t="s">
        <v>889</v>
      </c>
      <c r="B37" s="6" t="s">
        <v>126</v>
      </c>
      <c r="C37" s="6" t="s">
        <v>127</v>
      </c>
      <c r="D37" s="6" t="s">
        <v>11</v>
      </c>
      <c r="E37" s="6" t="s">
        <v>128</v>
      </c>
      <c r="F37" s="6" t="s">
        <v>129</v>
      </c>
      <c r="G37" s="6" t="s">
        <v>11</v>
      </c>
      <c r="H37" s="6" t="s">
        <v>11</v>
      </c>
      <c r="I37" s="6" t="s">
        <v>130</v>
      </c>
    </row>
    <row r="38" spans="1:9" x14ac:dyDescent="0.25">
      <c r="A38" s="2" t="s">
        <v>890</v>
      </c>
      <c r="B38" s="6" t="s">
        <v>131</v>
      </c>
      <c r="C38" s="6" t="s">
        <v>132</v>
      </c>
      <c r="D38" s="6" t="s">
        <v>11</v>
      </c>
      <c r="E38" s="6" t="s">
        <v>11</v>
      </c>
      <c r="F38" s="6" t="s">
        <v>11</v>
      </c>
      <c r="G38" s="6" t="s">
        <v>11</v>
      </c>
      <c r="H38" s="6" t="s">
        <v>11</v>
      </c>
      <c r="I38" s="6" t="s">
        <v>133</v>
      </c>
    </row>
    <row r="39" spans="1:9" x14ac:dyDescent="0.25">
      <c r="A39" s="2" t="s">
        <v>891</v>
      </c>
      <c r="B39" s="6" t="s">
        <v>13</v>
      </c>
      <c r="C39" s="6" t="s">
        <v>17</v>
      </c>
      <c r="D39" s="6" t="s">
        <v>11</v>
      </c>
      <c r="E39" s="6" t="s">
        <v>11</v>
      </c>
      <c r="F39" s="6" t="s">
        <v>11</v>
      </c>
      <c r="G39" s="6" t="s">
        <v>11</v>
      </c>
      <c r="H39" s="6" t="s">
        <v>11</v>
      </c>
      <c r="I39" s="6" t="s">
        <v>134</v>
      </c>
    </row>
    <row r="40" spans="1:9" x14ac:dyDescent="0.25">
      <c r="A40" s="2" t="s">
        <v>892</v>
      </c>
      <c r="B40" s="6" t="s">
        <v>135</v>
      </c>
      <c r="C40" s="6" t="s">
        <v>136</v>
      </c>
      <c r="D40" s="6" t="s">
        <v>11</v>
      </c>
      <c r="E40" s="6" t="s">
        <v>11</v>
      </c>
      <c r="F40" s="6" t="s">
        <v>11</v>
      </c>
      <c r="G40" s="6" t="s">
        <v>11</v>
      </c>
      <c r="H40" s="6" t="s">
        <v>11</v>
      </c>
      <c r="I40" s="6" t="s">
        <v>137</v>
      </c>
    </row>
    <row r="41" spans="1:9" x14ac:dyDescent="0.25">
      <c r="A41" s="2" t="s">
        <v>893</v>
      </c>
      <c r="B41" s="6" t="s">
        <v>138</v>
      </c>
      <c r="C41" s="6" t="s">
        <v>139</v>
      </c>
      <c r="D41" s="6" t="s">
        <v>11</v>
      </c>
      <c r="E41" s="6" t="s">
        <v>11</v>
      </c>
      <c r="F41" s="6" t="s">
        <v>11</v>
      </c>
      <c r="G41" s="6" t="s">
        <v>11</v>
      </c>
      <c r="H41" s="6" t="s">
        <v>11</v>
      </c>
      <c r="I41" s="6" t="s">
        <v>140</v>
      </c>
    </row>
    <row r="42" spans="1:9" x14ac:dyDescent="0.25">
      <c r="A42" s="2" t="s">
        <v>894</v>
      </c>
      <c r="B42" s="6" t="s">
        <v>141</v>
      </c>
      <c r="C42" s="6" t="s">
        <v>142</v>
      </c>
      <c r="D42" s="6" t="s">
        <v>11</v>
      </c>
      <c r="E42" s="6" t="s">
        <v>11</v>
      </c>
      <c r="F42" s="6" t="s">
        <v>11</v>
      </c>
      <c r="G42" s="6" t="s">
        <v>11</v>
      </c>
      <c r="H42" s="6" t="s">
        <v>11</v>
      </c>
      <c r="I42" s="6" t="s">
        <v>143</v>
      </c>
    </row>
    <row r="43" spans="1:9" x14ac:dyDescent="0.25">
      <c r="A43" s="2" t="s">
        <v>895</v>
      </c>
      <c r="B43" s="6" t="s">
        <v>144</v>
      </c>
      <c r="C43" s="6" t="s">
        <v>145</v>
      </c>
      <c r="D43" s="6" t="s">
        <v>11</v>
      </c>
      <c r="E43" s="6" t="s">
        <v>11</v>
      </c>
      <c r="F43" s="6" t="s">
        <v>146</v>
      </c>
      <c r="G43" s="6" t="s">
        <v>11</v>
      </c>
      <c r="H43" s="6" t="s">
        <v>11</v>
      </c>
      <c r="I43" s="6" t="s">
        <v>147</v>
      </c>
    </row>
    <row r="44" spans="1:9" x14ac:dyDescent="0.25">
      <c r="A44" s="2" t="s">
        <v>896</v>
      </c>
      <c r="B44" s="6" t="s">
        <v>11</v>
      </c>
      <c r="C44" s="6" t="s">
        <v>148</v>
      </c>
      <c r="D44" s="6" t="s">
        <v>11</v>
      </c>
      <c r="E44" s="6" t="s">
        <v>11</v>
      </c>
      <c r="F44" s="6" t="s">
        <v>11</v>
      </c>
      <c r="G44" s="6" t="s">
        <v>11</v>
      </c>
      <c r="H44" s="6" t="s">
        <v>11</v>
      </c>
      <c r="I44" s="6" t="s">
        <v>149</v>
      </c>
    </row>
    <row r="45" spans="1:9" x14ac:dyDescent="0.25">
      <c r="A45" s="2" t="s">
        <v>897</v>
      </c>
      <c r="B45" s="6" t="s">
        <v>150</v>
      </c>
      <c r="C45" s="6" t="s">
        <v>32</v>
      </c>
      <c r="D45" s="6" t="s">
        <v>11</v>
      </c>
      <c r="E45" s="6" t="s">
        <v>11</v>
      </c>
      <c r="F45" s="6" t="s">
        <v>11</v>
      </c>
      <c r="G45" s="6" t="s">
        <v>151</v>
      </c>
      <c r="H45" s="6" t="s">
        <v>11</v>
      </c>
      <c r="I45" s="6" t="s">
        <v>152</v>
      </c>
    </row>
    <row r="46" spans="1:9" x14ac:dyDescent="0.25">
      <c r="A46" s="2" t="s">
        <v>898</v>
      </c>
      <c r="B46" s="6" t="s">
        <v>153</v>
      </c>
      <c r="C46" s="6" t="s">
        <v>154</v>
      </c>
      <c r="D46" s="6" t="s">
        <v>11</v>
      </c>
      <c r="E46" s="6" t="s">
        <v>11</v>
      </c>
      <c r="F46" s="6" t="s">
        <v>11</v>
      </c>
      <c r="G46" s="6" t="s">
        <v>11</v>
      </c>
      <c r="H46" s="6" t="s">
        <v>11</v>
      </c>
      <c r="I46" s="6" t="s">
        <v>155</v>
      </c>
    </row>
    <row r="47" spans="1:9" x14ac:dyDescent="0.25">
      <c r="A47" s="2" t="s">
        <v>899</v>
      </c>
      <c r="B47" s="6" t="s">
        <v>156</v>
      </c>
      <c r="C47" s="6" t="s">
        <v>157</v>
      </c>
      <c r="D47" s="6" t="s">
        <v>158</v>
      </c>
      <c r="E47" s="6" t="s">
        <v>11</v>
      </c>
      <c r="F47" s="6" t="s">
        <v>11</v>
      </c>
      <c r="G47" s="6" t="s">
        <v>11</v>
      </c>
      <c r="H47" s="6" t="s">
        <v>11</v>
      </c>
      <c r="I47" s="6" t="s">
        <v>159</v>
      </c>
    </row>
    <row r="48" spans="1:9" x14ac:dyDescent="0.25">
      <c r="A48" s="2" t="s">
        <v>900</v>
      </c>
      <c r="B48" s="6" t="s">
        <v>114</v>
      </c>
      <c r="C48" s="6" t="s">
        <v>157</v>
      </c>
      <c r="D48" s="6" t="s">
        <v>11</v>
      </c>
      <c r="E48" s="6" t="s">
        <v>11</v>
      </c>
      <c r="F48" s="6" t="s">
        <v>11</v>
      </c>
      <c r="G48" s="6" t="s">
        <v>11</v>
      </c>
      <c r="H48" s="6" t="s">
        <v>11</v>
      </c>
      <c r="I48" s="6" t="s">
        <v>160</v>
      </c>
    </row>
    <row r="49" spans="1:9" x14ac:dyDescent="0.25">
      <c r="A49" s="2" t="s">
        <v>901</v>
      </c>
      <c r="B49" s="6" t="s">
        <v>68</v>
      </c>
      <c r="C49" s="6" t="s">
        <v>161</v>
      </c>
      <c r="D49" s="6" t="s">
        <v>11</v>
      </c>
      <c r="E49" s="6" t="s">
        <v>11</v>
      </c>
      <c r="F49" s="6" t="s">
        <v>11</v>
      </c>
      <c r="G49" s="6" t="s">
        <v>11</v>
      </c>
      <c r="H49" s="6" t="s">
        <v>11</v>
      </c>
      <c r="I49" s="6" t="s">
        <v>152</v>
      </c>
    </row>
    <row r="50" spans="1:9" x14ac:dyDescent="0.25">
      <c r="A50" s="2" t="s">
        <v>902</v>
      </c>
      <c r="B50" s="6" t="s">
        <v>85</v>
      </c>
      <c r="C50" s="6" t="s">
        <v>162</v>
      </c>
      <c r="D50" s="6" t="s">
        <v>11</v>
      </c>
      <c r="E50" s="6" t="s">
        <v>11</v>
      </c>
      <c r="F50" s="6" t="s">
        <v>11</v>
      </c>
      <c r="G50" s="6" t="s">
        <v>11</v>
      </c>
      <c r="H50" s="6" t="s">
        <v>11</v>
      </c>
      <c r="I50" s="6" t="s">
        <v>163</v>
      </c>
    </row>
    <row r="51" spans="1:9" x14ac:dyDescent="0.25">
      <c r="A51" s="2" t="s">
        <v>903</v>
      </c>
      <c r="B51" s="6" t="s">
        <v>11</v>
      </c>
      <c r="C51" s="6" t="s">
        <v>164</v>
      </c>
      <c r="D51" s="6" t="s">
        <v>11</v>
      </c>
      <c r="E51" s="6" t="s">
        <v>11</v>
      </c>
      <c r="F51" s="6" t="s">
        <v>11</v>
      </c>
      <c r="G51" s="6" t="s">
        <v>165</v>
      </c>
      <c r="H51" s="6" t="s">
        <v>11</v>
      </c>
      <c r="I51" s="6" t="s">
        <v>166</v>
      </c>
    </row>
    <row r="52" spans="1:9" x14ac:dyDescent="0.25">
      <c r="A52" s="2" t="s">
        <v>904</v>
      </c>
      <c r="B52" s="6" t="s">
        <v>167</v>
      </c>
      <c r="C52" s="6" t="s">
        <v>168</v>
      </c>
      <c r="D52" s="6" t="s">
        <v>11</v>
      </c>
      <c r="E52" s="6" t="s">
        <v>11</v>
      </c>
      <c r="F52" s="6" t="s">
        <v>11</v>
      </c>
      <c r="G52" s="6" t="s">
        <v>169</v>
      </c>
      <c r="H52" s="6" t="s">
        <v>11</v>
      </c>
      <c r="I52" s="6" t="s">
        <v>170</v>
      </c>
    </row>
    <row r="53" spans="1:9" x14ac:dyDescent="0.25">
      <c r="A53" s="2" t="s">
        <v>905</v>
      </c>
      <c r="B53" s="6" t="s">
        <v>31</v>
      </c>
      <c r="C53" s="6" t="s">
        <v>99</v>
      </c>
      <c r="D53" s="6" t="s">
        <v>11</v>
      </c>
      <c r="E53" s="6" t="s">
        <v>11</v>
      </c>
      <c r="F53" s="6" t="s">
        <v>11</v>
      </c>
      <c r="G53" s="6" t="s">
        <v>11</v>
      </c>
      <c r="H53" s="6" t="s">
        <v>11</v>
      </c>
      <c r="I53" s="6" t="s">
        <v>171</v>
      </c>
    </row>
    <row r="54" spans="1:9" x14ac:dyDescent="0.25">
      <c r="A54" s="2" t="s">
        <v>906</v>
      </c>
      <c r="B54" s="6" t="s">
        <v>172</v>
      </c>
      <c r="C54" s="6" t="s">
        <v>32</v>
      </c>
      <c r="D54" s="6" t="s">
        <v>11</v>
      </c>
      <c r="E54" s="6" t="s">
        <v>11</v>
      </c>
      <c r="F54" s="6" t="s">
        <v>11</v>
      </c>
      <c r="G54" s="6" t="s">
        <v>11</v>
      </c>
      <c r="H54" s="6" t="s">
        <v>11</v>
      </c>
      <c r="I54" s="6" t="s">
        <v>173</v>
      </c>
    </row>
    <row r="55" spans="1:9" x14ac:dyDescent="0.25">
      <c r="A55" s="2" t="s">
        <v>907</v>
      </c>
      <c r="B55" s="6" t="s">
        <v>174</v>
      </c>
      <c r="C55" s="6" t="s">
        <v>175</v>
      </c>
      <c r="D55" s="6" t="s">
        <v>11</v>
      </c>
      <c r="E55" s="6" t="s">
        <v>11</v>
      </c>
      <c r="F55" s="6" t="s">
        <v>11</v>
      </c>
      <c r="G55" s="6" t="s">
        <v>11</v>
      </c>
      <c r="H55" s="6" t="s">
        <v>11</v>
      </c>
      <c r="I55" s="6" t="s">
        <v>176</v>
      </c>
    </row>
    <row r="56" spans="1:9" x14ac:dyDescent="0.25">
      <c r="A56" s="2" t="s">
        <v>908</v>
      </c>
      <c r="B56" s="6" t="s">
        <v>177</v>
      </c>
      <c r="C56" s="6" t="s">
        <v>178</v>
      </c>
      <c r="D56" s="6" t="s">
        <v>11</v>
      </c>
      <c r="E56" s="6" t="s">
        <v>11</v>
      </c>
      <c r="F56" s="6" t="s">
        <v>11</v>
      </c>
      <c r="G56" s="6" t="s">
        <v>11</v>
      </c>
      <c r="H56" s="6" t="s">
        <v>11</v>
      </c>
      <c r="I56" s="6" t="s">
        <v>179</v>
      </c>
    </row>
    <row r="57" spans="1:9" x14ac:dyDescent="0.25">
      <c r="A57" s="2" t="s">
        <v>909</v>
      </c>
      <c r="B57" s="6" t="s">
        <v>98</v>
      </c>
      <c r="C57" s="6" t="s">
        <v>157</v>
      </c>
      <c r="D57" s="6" t="s">
        <v>11</v>
      </c>
      <c r="E57" s="6" t="s">
        <v>11</v>
      </c>
      <c r="F57" s="6" t="s">
        <v>11</v>
      </c>
      <c r="G57" s="6" t="s">
        <v>11</v>
      </c>
      <c r="H57" s="6" t="s">
        <v>11</v>
      </c>
      <c r="I57" s="6" t="s">
        <v>180</v>
      </c>
    </row>
    <row r="58" spans="1:9" x14ac:dyDescent="0.25">
      <c r="A58" s="2" t="s">
        <v>910</v>
      </c>
      <c r="B58" s="6" t="s">
        <v>13</v>
      </c>
      <c r="C58" s="6" t="s">
        <v>157</v>
      </c>
      <c r="D58" s="6" t="s">
        <v>11</v>
      </c>
      <c r="E58" s="6" t="s">
        <v>11</v>
      </c>
      <c r="F58" s="6" t="s">
        <v>11</v>
      </c>
      <c r="G58" s="6" t="s">
        <v>11</v>
      </c>
      <c r="H58" s="6" t="s">
        <v>11</v>
      </c>
      <c r="I58" s="6" t="s">
        <v>181</v>
      </c>
    </row>
    <row r="59" spans="1:9" x14ac:dyDescent="0.25">
      <c r="A59" s="2" t="s">
        <v>911</v>
      </c>
      <c r="B59" s="6" t="s">
        <v>38</v>
      </c>
      <c r="C59" s="6" t="s">
        <v>182</v>
      </c>
      <c r="D59" s="6" t="s">
        <v>11</v>
      </c>
      <c r="E59" s="6" t="s">
        <v>11</v>
      </c>
      <c r="F59" s="6" t="s">
        <v>11</v>
      </c>
      <c r="G59" s="6" t="s">
        <v>11</v>
      </c>
      <c r="H59" s="6" t="s">
        <v>11</v>
      </c>
      <c r="I59" s="6" t="s">
        <v>183</v>
      </c>
    </row>
    <row r="60" spans="1:9" x14ac:dyDescent="0.25">
      <c r="A60" s="2" t="s">
        <v>912</v>
      </c>
      <c r="B60" s="6" t="s">
        <v>184</v>
      </c>
      <c r="C60" s="6" t="s">
        <v>162</v>
      </c>
      <c r="D60" s="6" t="s">
        <v>11</v>
      </c>
      <c r="E60" s="6" t="s">
        <v>185</v>
      </c>
      <c r="F60" s="6" t="s">
        <v>186</v>
      </c>
      <c r="G60" s="6" t="s">
        <v>11</v>
      </c>
      <c r="H60" s="6" t="s">
        <v>11</v>
      </c>
      <c r="I60" s="6" t="s">
        <v>187</v>
      </c>
    </row>
    <row r="61" spans="1:9" x14ac:dyDescent="0.25">
      <c r="A61" s="2" t="s">
        <v>913</v>
      </c>
      <c r="B61" s="6" t="s">
        <v>68</v>
      </c>
      <c r="C61" s="6" t="s">
        <v>188</v>
      </c>
      <c r="D61" s="6" t="s">
        <v>11</v>
      </c>
      <c r="E61" s="6" t="s">
        <v>189</v>
      </c>
      <c r="F61" s="6" t="s">
        <v>11</v>
      </c>
      <c r="G61" s="6" t="s">
        <v>190</v>
      </c>
      <c r="H61" s="6" t="s">
        <v>11</v>
      </c>
      <c r="I61" s="6" t="s">
        <v>191</v>
      </c>
    </row>
    <row r="62" spans="1:9" x14ac:dyDescent="0.25">
      <c r="A62" s="2" t="s">
        <v>914</v>
      </c>
      <c r="B62" s="6" t="s">
        <v>11</v>
      </c>
      <c r="C62" s="6" t="s">
        <v>192</v>
      </c>
      <c r="D62" s="6" t="s">
        <v>11</v>
      </c>
      <c r="E62" s="6" t="s">
        <v>11</v>
      </c>
      <c r="F62" s="6" t="s">
        <v>11</v>
      </c>
      <c r="G62" s="6" t="s">
        <v>11</v>
      </c>
      <c r="H62" s="6" t="s">
        <v>11</v>
      </c>
      <c r="I62" s="6" t="s">
        <v>193</v>
      </c>
    </row>
    <row r="63" spans="1:9" x14ac:dyDescent="0.25">
      <c r="A63" s="2" t="s">
        <v>915</v>
      </c>
      <c r="B63" s="6" t="s">
        <v>85</v>
      </c>
      <c r="C63" s="6" t="s">
        <v>42</v>
      </c>
      <c r="D63" s="6" t="s">
        <v>194</v>
      </c>
      <c r="E63" s="6" t="s">
        <v>11</v>
      </c>
      <c r="F63" s="6" t="s">
        <v>11</v>
      </c>
      <c r="G63" s="6" t="s">
        <v>11</v>
      </c>
      <c r="H63" s="6" t="s">
        <v>11</v>
      </c>
      <c r="I63" s="6" t="s">
        <v>195</v>
      </c>
    </row>
    <row r="64" spans="1:9" x14ac:dyDescent="0.25">
      <c r="A64" s="2" t="s">
        <v>916</v>
      </c>
      <c r="B64" s="6" t="s">
        <v>89</v>
      </c>
      <c r="C64" s="6" t="s">
        <v>178</v>
      </c>
      <c r="D64" s="6" t="s">
        <v>11</v>
      </c>
      <c r="E64" s="6" t="s">
        <v>196</v>
      </c>
      <c r="F64" s="6" t="s">
        <v>197</v>
      </c>
      <c r="G64" s="6" t="s">
        <v>11</v>
      </c>
      <c r="H64" s="6" t="s">
        <v>11</v>
      </c>
      <c r="I64" s="6" t="s">
        <v>198</v>
      </c>
    </row>
    <row r="65" spans="1:9" x14ac:dyDescent="0.25">
      <c r="A65" s="2" t="s">
        <v>917</v>
      </c>
      <c r="B65" s="6" t="s">
        <v>199</v>
      </c>
      <c r="C65" s="6" t="s">
        <v>200</v>
      </c>
      <c r="D65" s="6" t="s">
        <v>11</v>
      </c>
      <c r="E65" s="6" t="s">
        <v>201</v>
      </c>
      <c r="F65" s="6" t="s">
        <v>202</v>
      </c>
      <c r="G65" s="6" t="s">
        <v>11</v>
      </c>
      <c r="H65" s="6" t="s">
        <v>11</v>
      </c>
      <c r="I65" s="6" t="s">
        <v>203</v>
      </c>
    </row>
    <row r="66" spans="1:9" x14ac:dyDescent="0.25">
      <c r="A66" s="2" t="s">
        <v>918</v>
      </c>
      <c r="B66" s="6" t="s">
        <v>11</v>
      </c>
      <c r="C66" s="6" t="s">
        <v>204</v>
      </c>
      <c r="D66" s="6" t="s">
        <v>11</v>
      </c>
      <c r="E66" s="6" t="s">
        <v>11</v>
      </c>
      <c r="F66" s="6" t="s">
        <v>11</v>
      </c>
      <c r="G66" s="6" t="s">
        <v>205</v>
      </c>
      <c r="H66" s="6" t="s">
        <v>11</v>
      </c>
      <c r="I66" s="6" t="s">
        <v>206</v>
      </c>
    </row>
    <row r="67" spans="1:9" x14ac:dyDescent="0.25">
      <c r="A67" s="2" t="s">
        <v>919</v>
      </c>
      <c r="B67" s="6" t="s">
        <v>131</v>
      </c>
      <c r="C67" s="6" t="s">
        <v>207</v>
      </c>
      <c r="D67" s="6" t="s">
        <v>11</v>
      </c>
      <c r="E67" s="6" t="s">
        <v>11</v>
      </c>
      <c r="F67" s="6" t="s">
        <v>11</v>
      </c>
      <c r="G67" s="6" t="s">
        <v>11</v>
      </c>
      <c r="H67" s="6" t="s">
        <v>11</v>
      </c>
      <c r="I67" s="6" t="s">
        <v>208</v>
      </c>
    </row>
    <row r="68" spans="1:9" x14ac:dyDescent="0.25">
      <c r="A68" s="2" t="s">
        <v>920</v>
      </c>
      <c r="B68" s="6" t="s">
        <v>209</v>
      </c>
      <c r="C68" s="6" t="s">
        <v>210</v>
      </c>
      <c r="D68" s="6" t="s">
        <v>11</v>
      </c>
      <c r="E68" s="6" t="s">
        <v>11</v>
      </c>
      <c r="F68" s="6" t="s">
        <v>11</v>
      </c>
      <c r="G68" s="6" t="s">
        <v>11</v>
      </c>
      <c r="H68" s="6" t="s">
        <v>11</v>
      </c>
      <c r="I68" s="6" t="s">
        <v>211</v>
      </c>
    </row>
    <row r="69" spans="1:9" x14ac:dyDescent="0.25">
      <c r="A69" s="2" t="s">
        <v>921</v>
      </c>
      <c r="B69" s="6" t="s">
        <v>16</v>
      </c>
      <c r="C69" s="6" t="s">
        <v>212</v>
      </c>
      <c r="D69" s="6" t="s">
        <v>213</v>
      </c>
      <c r="E69" s="6" t="s">
        <v>11</v>
      </c>
      <c r="F69" s="6" t="s">
        <v>11</v>
      </c>
      <c r="G69" s="6" t="s">
        <v>11</v>
      </c>
      <c r="H69" s="6" t="s">
        <v>11</v>
      </c>
      <c r="I69" s="6" t="s">
        <v>214</v>
      </c>
    </row>
    <row r="70" spans="1:9" x14ac:dyDescent="0.25">
      <c r="A70" s="2" t="s">
        <v>922</v>
      </c>
      <c r="B70" s="6" t="s">
        <v>31</v>
      </c>
      <c r="C70" s="6" t="s">
        <v>14</v>
      </c>
      <c r="D70" s="6" t="s">
        <v>11</v>
      </c>
      <c r="E70" s="6" t="s">
        <v>11</v>
      </c>
      <c r="F70" s="6" t="s">
        <v>11</v>
      </c>
      <c r="G70" s="6" t="s">
        <v>11</v>
      </c>
      <c r="H70" s="6" t="s">
        <v>11</v>
      </c>
      <c r="I70" s="6" t="s">
        <v>103</v>
      </c>
    </row>
    <row r="71" spans="1:9" x14ac:dyDescent="0.25">
      <c r="A71" s="2" t="s">
        <v>923</v>
      </c>
      <c r="B71" s="6" t="s">
        <v>215</v>
      </c>
      <c r="C71" s="6" t="s">
        <v>216</v>
      </c>
      <c r="D71" s="6" t="s">
        <v>11</v>
      </c>
      <c r="E71" s="6" t="s">
        <v>11</v>
      </c>
      <c r="F71" s="6" t="s">
        <v>217</v>
      </c>
      <c r="G71" s="6" t="s">
        <v>11</v>
      </c>
      <c r="H71" s="6" t="s">
        <v>11</v>
      </c>
      <c r="I71" s="6" t="s">
        <v>218</v>
      </c>
    </row>
    <row r="72" spans="1:9" x14ac:dyDescent="0.25">
      <c r="A72" s="2" t="s">
        <v>924</v>
      </c>
      <c r="B72" s="6" t="s">
        <v>98</v>
      </c>
      <c r="C72" s="6" t="s">
        <v>219</v>
      </c>
      <c r="D72" s="6" t="s">
        <v>11</v>
      </c>
      <c r="E72" s="6" t="s">
        <v>11</v>
      </c>
      <c r="F72" s="6" t="s">
        <v>11</v>
      </c>
      <c r="G72" s="6" t="s">
        <v>11</v>
      </c>
      <c r="H72" s="6" t="s">
        <v>11</v>
      </c>
      <c r="I72" s="6" t="s">
        <v>180</v>
      </c>
    </row>
    <row r="73" spans="1:9" x14ac:dyDescent="0.25">
      <c r="A73" s="2" t="s">
        <v>925</v>
      </c>
      <c r="B73" s="6" t="s">
        <v>131</v>
      </c>
      <c r="C73" s="6" t="s">
        <v>220</v>
      </c>
      <c r="D73" s="6" t="s">
        <v>11</v>
      </c>
      <c r="E73" s="6" t="s">
        <v>11</v>
      </c>
      <c r="F73" s="6" t="s">
        <v>221</v>
      </c>
      <c r="G73" s="6" t="s">
        <v>11</v>
      </c>
      <c r="H73" s="6" t="s">
        <v>11</v>
      </c>
      <c r="I73" s="6" t="s">
        <v>222</v>
      </c>
    </row>
    <row r="74" spans="1:9" x14ac:dyDescent="0.25">
      <c r="A74" s="2" t="s">
        <v>926</v>
      </c>
      <c r="B74" s="6" t="s">
        <v>126</v>
      </c>
      <c r="C74" s="6" t="s">
        <v>223</v>
      </c>
      <c r="D74" s="6" t="s">
        <v>224</v>
      </c>
      <c r="E74" s="6" t="s">
        <v>11</v>
      </c>
      <c r="F74" s="6" t="s">
        <v>11</v>
      </c>
      <c r="G74" s="6" t="s">
        <v>11</v>
      </c>
      <c r="H74" s="6" t="s">
        <v>11</v>
      </c>
      <c r="I74" s="6" t="s">
        <v>225</v>
      </c>
    </row>
    <row r="75" spans="1:9" x14ac:dyDescent="0.25">
      <c r="A75" s="2" t="s">
        <v>927</v>
      </c>
      <c r="B75" s="6" t="s">
        <v>13</v>
      </c>
      <c r="C75" s="6" t="s">
        <v>109</v>
      </c>
      <c r="D75" s="6" t="s">
        <v>11</v>
      </c>
      <c r="E75" s="6" t="s">
        <v>11</v>
      </c>
      <c r="F75" s="6" t="s">
        <v>226</v>
      </c>
      <c r="G75" s="6" t="s">
        <v>11</v>
      </c>
      <c r="H75" s="6" t="s">
        <v>11</v>
      </c>
      <c r="I75" s="6" t="s">
        <v>227</v>
      </c>
    </row>
    <row r="76" spans="1:9" x14ac:dyDescent="0.25">
      <c r="A76" s="2" t="s">
        <v>928</v>
      </c>
      <c r="B76" s="6" t="s">
        <v>31</v>
      </c>
      <c r="C76" s="6" t="s">
        <v>32</v>
      </c>
      <c r="D76" s="6" t="s">
        <v>11</v>
      </c>
      <c r="E76" s="6" t="s">
        <v>11</v>
      </c>
      <c r="F76" s="6" t="s">
        <v>11</v>
      </c>
      <c r="G76" s="6" t="s">
        <v>11</v>
      </c>
      <c r="H76" s="6" t="s">
        <v>228</v>
      </c>
      <c r="I76" s="6" t="s">
        <v>229</v>
      </c>
    </row>
    <row r="77" spans="1:9" x14ac:dyDescent="0.25">
      <c r="A77" s="2" t="s">
        <v>929</v>
      </c>
      <c r="B77" s="6" t="s">
        <v>230</v>
      </c>
      <c r="C77" s="6" t="s">
        <v>231</v>
      </c>
      <c r="D77" s="6" t="s">
        <v>56</v>
      </c>
      <c r="E77" s="6" t="s">
        <v>11</v>
      </c>
      <c r="F77" s="6" t="s">
        <v>11</v>
      </c>
      <c r="G77" s="6" t="s">
        <v>11</v>
      </c>
      <c r="H77" s="6" t="s">
        <v>11</v>
      </c>
      <c r="I77" s="6" t="s">
        <v>232</v>
      </c>
    </row>
    <row r="78" spans="1:9" x14ac:dyDescent="0.25">
      <c r="A78" s="2" t="s">
        <v>930</v>
      </c>
      <c r="B78" s="6" t="s">
        <v>233</v>
      </c>
      <c r="C78" s="6" t="s">
        <v>234</v>
      </c>
      <c r="D78" s="6" t="s">
        <v>11</v>
      </c>
      <c r="E78" s="6" t="s">
        <v>11</v>
      </c>
      <c r="F78" s="6" t="s">
        <v>235</v>
      </c>
      <c r="G78" s="6" t="s">
        <v>11</v>
      </c>
      <c r="H78" s="6" t="s">
        <v>236</v>
      </c>
      <c r="I78" s="6" t="s">
        <v>237</v>
      </c>
    </row>
    <row r="79" spans="1:9" x14ac:dyDescent="0.25">
      <c r="A79" s="2" t="s">
        <v>931</v>
      </c>
      <c r="B79" s="6" t="s">
        <v>31</v>
      </c>
      <c r="C79" s="6" t="s">
        <v>238</v>
      </c>
      <c r="D79" s="6" t="s">
        <v>239</v>
      </c>
      <c r="E79" s="6" t="s">
        <v>11</v>
      </c>
      <c r="F79" s="6" t="s">
        <v>240</v>
      </c>
      <c r="G79" s="6" t="s">
        <v>11</v>
      </c>
      <c r="H79" s="6" t="s">
        <v>11</v>
      </c>
      <c r="I79" s="6" t="s">
        <v>241</v>
      </c>
    </row>
    <row r="80" spans="1:9" x14ac:dyDescent="0.25">
      <c r="A80" s="2" t="s">
        <v>932</v>
      </c>
      <c r="B80" s="6" t="s">
        <v>89</v>
      </c>
      <c r="C80" s="6" t="s">
        <v>242</v>
      </c>
      <c r="D80" s="6" t="s">
        <v>11</v>
      </c>
      <c r="E80" s="6" t="s">
        <v>11</v>
      </c>
      <c r="F80" s="6" t="s">
        <v>11</v>
      </c>
      <c r="G80" s="6" t="s">
        <v>11</v>
      </c>
      <c r="H80" s="6" t="s">
        <v>11</v>
      </c>
      <c r="I80" s="6" t="s">
        <v>243</v>
      </c>
    </row>
    <row r="81" spans="1:9" x14ac:dyDescent="0.25">
      <c r="A81" s="2" t="s">
        <v>933</v>
      </c>
      <c r="B81" s="6" t="s">
        <v>244</v>
      </c>
      <c r="C81" s="6" t="s">
        <v>245</v>
      </c>
      <c r="D81" s="6" t="s">
        <v>246</v>
      </c>
      <c r="E81" s="6" t="s">
        <v>11</v>
      </c>
      <c r="F81" s="6" t="s">
        <v>11</v>
      </c>
      <c r="G81" s="6" t="s">
        <v>11</v>
      </c>
      <c r="H81" s="6" t="s">
        <v>11</v>
      </c>
      <c r="I81" s="6" t="s">
        <v>247</v>
      </c>
    </row>
    <row r="82" spans="1:9" x14ac:dyDescent="0.25">
      <c r="A82" s="2" t="s">
        <v>934</v>
      </c>
      <c r="B82" s="6" t="s">
        <v>248</v>
      </c>
      <c r="C82" s="6" t="s">
        <v>249</v>
      </c>
      <c r="D82" s="6" t="s">
        <v>11</v>
      </c>
      <c r="E82" s="6" t="s">
        <v>11</v>
      </c>
      <c r="F82" s="6" t="s">
        <v>250</v>
      </c>
      <c r="G82" s="6" t="s">
        <v>11</v>
      </c>
      <c r="H82" s="6" t="s">
        <v>11</v>
      </c>
      <c r="I82" s="6" t="s">
        <v>251</v>
      </c>
    </row>
    <row r="83" spans="1:9" x14ac:dyDescent="0.25">
      <c r="A83" s="2" t="s">
        <v>935</v>
      </c>
      <c r="B83" s="6" t="s">
        <v>252</v>
      </c>
      <c r="C83" s="6" t="s">
        <v>253</v>
      </c>
      <c r="D83" s="6" t="s">
        <v>11</v>
      </c>
      <c r="E83" s="6" t="s">
        <v>11</v>
      </c>
      <c r="F83" s="6" t="s">
        <v>11</v>
      </c>
      <c r="G83" s="6" t="s">
        <v>11</v>
      </c>
      <c r="H83" s="6" t="s">
        <v>11</v>
      </c>
      <c r="I83" s="6" t="s">
        <v>254</v>
      </c>
    </row>
    <row r="84" spans="1:9" x14ac:dyDescent="0.25">
      <c r="A84" s="2" t="s">
        <v>936</v>
      </c>
      <c r="B84" s="6" t="s">
        <v>11</v>
      </c>
      <c r="C84" s="6" t="s">
        <v>109</v>
      </c>
      <c r="D84" s="6" t="s">
        <v>11</v>
      </c>
      <c r="E84" s="6" t="s">
        <v>11</v>
      </c>
      <c r="F84" s="6" t="s">
        <v>11</v>
      </c>
      <c r="G84" s="6" t="s">
        <v>11</v>
      </c>
      <c r="H84" s="6" t="s">
        <v>11</v>
      </c>
      <c r="I84" s="6" t="s">
        <v>255</v>
      </c>
    </row>
    <row r="85" spans="1:9" x14ac:dyDescent="0.25">
      <c r="A85" s="2" t="s">
        <v>937</v>
      </c>
      <c r="B85" s="6" t="s">
        <v>256</v>
      </c>
      <c r="C85" s="6" t="s">
        <v>115</v>
      </c>
      <c r="D85" s="6" t="s">
        <v>11</v>
      </c>
      <c r="E85" s="6" t="s">
        <v>11</v>
      </c>
      <c r="F85" s="6" t="s">
        <v>11</v>
      </c>
      <c r="G85" s="6" t="s">
        <v>11</v>
      </c>
      <c r="H85" s="6" t="s">
        <v>11</v>
      </c>
      <c r="I85" s="6" t="s">
        <v>257</v>
      </c>
    </row>
    <row r="86" spans="1:9" x14ac:dyDescent="0.25">
      <c r="A86" s="2" t="s">
        <v>938</v>
      </c>
      <c r="B86" s="6" t="s">
        <v>13</v>
      </c>
      <c r="C86" s="6" t="s">
        <v>258</v>
      </c>
      <c r="D86" s="6" t="s">
        <v>11</v>
      </c>
      <c r="E86" s="6" t="s">
        <v>11</v>
      </c>
      <c r="F86" s="6" t="s">
        <v>11</v>
      </c>
      <c r="G86" s="6" t="s">
        <v>11</v>
      </c>
      <c r="H86" s="6" t="s">
        <v>11</v>
      </c>
      <c r="I86" s="6" t="s">
        <v>259</v>
      </c>
    </row>
    <row r="87" spans="1:9" x14ac:dyDescent="0.25">
      <c r="A87" s="2" t="s">
        <v>939</v>
      </c>
      <c r="B87" s="6" t="s">
        <v>260</v>
      </c>
      <c r="C87" s="6" t="s">
        <v>261</v>
      </c>
      <c r="D87" s="6" t="s">
        <v>11</v>
      </c>
      <c r="E87" s="6" t="s">
        <v>11</v>
      </c>
      <c r="F87" s="6" t="s">
        <v>11</v>
      </c>
      <c r="G87" s="6" t="s">
        <v>11</v>
      </c>
      <c r="H87" s="6" t="s">
        <v>262</v>
      </c>
      <c r="I87" s="6" t="s">
        <v>263</v>
      </c>
    </row>
    <row r="88" spans="1:9" x14ac:dyDescent="0.25">
      <c r="A88" s="2" t="s">
        <v>940</v>
      </c>
      <c r="B88" s="6" t="s">
        <v>264</v>
      </c>
      <c r="C88" s="6" t="s">
        <v>219</v>
      </c>
      <c r="D88" s="6" t="s">
        <v>11</v>
      </c>
      <c r="E88" s="6" t="s">
        <v>11</v>
      </c>
      <c r="F88" s="6" t="s">
        <v>11</v>
      </c>
      <c r="G88" s="6" t="s">
        <v>11</v>
      </c>
      <c r="H88" s="6" t="s">
        <v>265</v>
      </c>
      <c r="I88" s="6" t="s">
        <v>266</v>
      </c>
    </row>
    <row r="89" spans="1:9" x14ac:dyDescent="0.25">
      <c r="A89" s="2" t="s">
        <v>941</v>
      </c>
      <c r="B89" s="6" t="s">
        <v>267</v>
      </c>
      <c r="C89" s="6" t="s">
        <v>268</v>
      </c>
      <c r="D89" s="6" t="s">
        <v>11</v>
      </c>
      <c r="E89" s="6" t="s">
        <v>269</v>
      </c>
      <c r="F89" s="6" t="s">
        <v>11</v>
      </c>
      <c r="G89" s="6" t="s">
        <v>11</v>
      </c>
      <c r="H89" s="6" t="s">
        <v>270</v>
      </c>
      <c r="I89" s="6" t="s">
        <v>271</v>
      </c>
    </row>
    <row r="90" spans="1:9" x14ac:dyDescent="0.25">
      <c r="A90" s="2" t="s">
        <v>942</v>
      </c>
      <c r="B90" s="6" t="s">
        <v>272</v>
      </c>
      <c r="C90" s="6" t="s">
        <v>273</v>
      </c>
      <c r="D90" s="6" t="s">
        <v>11</v>
      </c>
      <c r="E90" s="6" t="s">
        <v>274</v>
      </c>
      <c r="F90" s="6" t="s">
        <v>275</v>
      </c>
      <c r="G90" s="6" t="s">
        <v>11</v>
      </c>
      <c r="H90" s="6" t="s">
        <v>276</v>
      </c>
      <c r="I90" s="6" t="s">
        <v>277</v>
      </c>
    </row>
    <row r="91" spans="1:9" x14ac:dyDescent="0.25">
      <c r="A91" s="2" t="s">
        <v>943</v>
      </c>
      <c r="B91" s="6" t="s">
        <v>278</v>
      </c>
      <c r="C91" s="6" t="s">
        <v>99</v>
      </c>
      <c r="D91" s="6" t="s">
        <v>11</v>
      </c>
      <c r="E91" s="6" t="s">
        <v>11</v>
      </c>
      <c r="F91" s="6" t="s">
        <v>11</v>
      </c>
      <c r="G91" s="6" t="s">
        <v>11</v>
      </c>
      <c r="H91" s="6" t="s">
        <v>279</v>
      </c>
      <c r="I91" s="6" t="s">
        <v>280</v>
      </c>
    </row>
    <row r="92" spans="1:9" x14ac:dyDescent="0.25">
      <c r="A92" s="2" t="s">
        <v>944</v>
      </c>
      <c r="B92" s="6" t="s">
        <v>31</v>
      </c>
      <c r="C92" s="6" t="s">
        <v>42</v>
      </c>
      <c r="D92" s="6" t="s">
        <v>11</v>
      </c>
      <c r="E92" s="6" t="s">
        <v>281</v>
      </c>
      <c r="F92" s="6" t="s">
        <v>11</v>
      </c>
      <c r="G92" s="6" t="s">
        <v>11</v>
      </c>
      <c r="H92" s="6" t="s">
        <v>11</v>
      </c>
      <c r="I92" s="6" t="s">
        <v>282</v>
      </c>
    </row>
    <row r="93" spans="1:9" x14ac:dyDescent="0.25">
      <c r="A93" s="2" t="s">
        <v>945</v>
      </c>
      <c r="B93" s="6" t="s">
        <v>11</v>
      </c>
      <c r="C93" s="6" t="s">
        <v>283</v>
      </c>
      <c r="D93" s="6" t="s">
        <v>11</v>
      </c>
      <c r="E93" s="6" t="s">
        <v>11</v>
      </c>
      <c r="F93" s="6" t="s">
        <v>284</v>
      </c>
      <c r="G93" s="6" t="s">
        <v>285</v>
      </c>
      <c r="H93" s="6" t="s">
        <v>11</v>
      </c>
      <c r="I93" s="6" t="s">
        <v>286</v>
      </c>
    </row>
    <row r="94" spans="1:9" x14ac:dyDescent="0.25">
      <c r="A94" s="2" t="s">
        <v>946</v>
      </c>
      <c r="B94" s="6" t="s">
        <v>287</v>
      </c>
      <c r="C94" s="6" t="s">
        <v>206</v>
      </c>
      <c r="D94" s="6" t="s">
        <v>11</v>
      </c>
      <c r="E94" s="6" t="s">
        <v>11</v>
      </c>
      <c r="F94" s="6" t="s">
        <v>11</v>
      </c>
      <c r="G94" s="6" t="s">
        <v>11</v>
      </c>
      <c r="H94" s="6" t="s">
        <v>11</v>
      </c>
      <c r="I94" s="6" t="s">
        <v>160</v>
      </c>
    </row>
    <row r="95" spans="1:9" x14ac:dyDescent="0.25">
      <c r="A95" s="2" t="s">
        <v>947</v>
      </c>
      <c r="B95" s="6" t="s">
        <v>264</v>
      </c>
      <c r="C95" s="6" t="s">
        <v>288</v>
      </c>
      <c r="D95" s="6" t="s">
        <v>11</v>
      </c>
      <c r="E95" s="6" t="s">
        <v>11</v>
      </c>
      <c r="F95" s="6" t="s">
        <v>289</v>
      </c>
      <c r="G95" s="6" t="s">
        <v>11</v>
      </c>
      <c r="H95" s="6" t="s">
        <v>290</v>
      </c>
      <c r="I95" s="6" t="s">
        <v>291</v>
      </c>
    </row>
    <row r="96" spans="1:9" x14ac:dyDescent="0.25">
      <c r="A96" s="2" t="s">
        <v>948</v>
      </c>
      <c r="B96" s="6" t="s">
        <v>20</v>
      </c>
      <c r="C96" s="6" t="s">
        <v>292</v>
      </c>
      <c r="D96" s="6" t="s">
        <v>11</v>
      </c>
      <c r="E96" s="6" t="s">
        <v>11</v>
      </c>
      <c r="F96" s="6" t="s">
        <v>293</v>
      </c>
      <c r="G96" s="6" t="s">
        <v>11</v>
      </c>
      <c r="H96" s="6" t="s">
        <v>294</v>
      </c>
      <c r="I96" s="6" t="s">
        <v>295</v>
      </c>
    </row>
    <row r="97" spans="1:9" x14ac:dyDescent="0.25">
      <c r="A97" s="2" t="s">
        <v>949</v>
      </c>
      <c r="B97" s="6" t="s">
        <v>296</v>
      </c>
      <c r="C97" s="6" t="s">
        <v>297</v>
      </c>
      <c r="D97" s="6" t="s">
        <v>11</v>
      </c>
      <c r="E97" s="6" t="s">
        <v>11</v>
      </c>
      <c r="F97" s="6" t="s">
        <v>11</v>
      </c>
      <c r="G97" s="6" t="s">
        <v>298</v>
      </c>
      <c r="H97" s="6" t="s">
        <v>11</v>
      </c>
      <c r="I97" s="6" t="s">
        <v>299</v>
      </c>
    </row>
    <row r="98" spans="1:9" x14ac:dyDescent="0.25">
      <c r="A98" s="2" t="s">
        <v>950</v>
      </c>
      <c r="B98" s="6" t="s">
        <v>156</v>
      </c>
      <c r="C98" s="6" t="s">
        <v>300</v>
      </c>
      <c r="D98" s="6" t="s">
        <v>11</v>
      </c>
      <c r="E98" s="6" t="s">
        <v>11</v>
      </c>
      <c r="F98" s="6" t="s">
        <v>11</v>
      </c>
      <c r="G98" s="6" t="s">
        <v>11</v>
      </c>
      <c r="H98" s="6" t="s">
        <v>301</v>
      </c>
      <c r="I98" s="6" t="s">
        <v>302</v>
      </c>
    </row>
    <row r="99" spans="1:9" x14ac:dyDescent="0.25">
      <c r="A99" s="2" t="s">
        <v>951</v>
      </c>
      <c r="B99" s="6" t="s">
        <v>303</v>
      </c>
      <c r="C99" s="6" t="s">
        <v>304</v>
      </c>
      <c r="D99" s="6" t="s">
        <v>11</v>
      </c>
      <c r="E99" s="6" t="s">
        <v>305</v>
      </c>
      <c r="F99" s="6" t="s">
        <v>11</v>
      </c>
      <c r="G99" s="6" t="s">
        <v>11</v>
      </c>
      <c r="H99" s="6" t="s">
        <v>11</v>
      </c>
      <c r="I99" s="6" t="s">
        <v>306</v>
      </c>
    </row>
    <row r="100" spans="1:9" x14ac:dyDescent="0.25">
      <c r="A100" s="2" t="s">
        <v>952</v>
      </c>
      <c r="B100" s="6" t="s">
        <v>177</v>
      </c>
      <c r="C100" s="6" t="s">
        <v>182</v>
      </c>
      <c r="D100" s="6" t="s">
        <v>11</v>
      </c>
      <c r="E100" s="6" t="s">
        <v>11</v>
      </c>
      <c r="F100" s="6" t="s">
        <v>11</v>
      </c>
      <c r="G100" s="6" t="s">
        <v>11</v>
      </c>
      <c r="H100" s="6" t="s">
        <v>11</v>
      </c>
      <c r="I100" s="6" t="s">
        <v>307</v>
      </c>
    </row>
    <row r="101" spans="1:9" x14ac:dyDescent="0.25">
      <c r="A101" s="2" t="s">
        <v>953</v>
      </c>
      <c r="B101" s="6" t="s">
        <v>308</v>
      </c>
      <c r="C101" s="6" t="s">
        <v>309</v>
      </c>
      <c r="D101" s="6" t="s">
        <v>11</v>
      </c>
      <c r="E101" s="6" t="s">
        <v>11</v>
      </c>
      <c r="F101" s="6" t="s">
        <v>11</v>
      </c>
      <c r="G101" s="6" t="s">
        <v>11</v>
      </c>
      <c r="H101" s="6" t="s">
        <v>11</v>
      </c>
      <c r="I101" s="6" t="s">
        <v>160</v>
      </c>
    </row>
    <row r="102" spans="1:9" x14ac:dyDescent="0.25">
      <c r="A102" s="2" t="s">
        <v>954</v>
      </c>
      <c r="B102" s="6" t="s">
        <v>310</v>
      </c>
      <c r="C102" s="6" t="s">
        <v>311</v>
      </c>
      <c r="D102" s="6" t="s">
        <v>11</v>
      </c>
      <c r="E102" s="6" t="s">
        <v>312</v>
      </c>
      <c r="F102" s="6" t="s">
        <v>11</v>
      </c>
      <c r="G102" s="6" t="s">
        <v>11</v>
      </c>
      <c r="H102" s="6" t="s">
        <v>313</v>
      </c>
      <c r="I102" s="6" t="s">
        <v>34</v>
      </c>
    </row>
    <row r="103" spans="1:9" x14ac:dyDescent="0.25">
      <c r="A103" s="2" t="s">
        <v>955</v>
      </c>
      <c r="B103" s="6" t="s">
        <v>98</v>
      </c>
      <c r="C103" s="6" t="s">
        <v>297</v>
      </c>
      <c r="D103" s="6" t="s">
        <v>11</v>
      </c>
      <c r="E103" s="6" t="s">
        <v>11</v>
      </c>
      <c r="F103" s="6" t="s">
        <v>11</v>
      </c>
      <c r="G103" s="6" t="s">
        <v>11</v>
      </c>
      <c r="H103" s="6" t="s">
        <v>314</v>
      </c>
      <c r="I103" s="6" t="s">
        <v>315</v>
      </c>
    </row>
    <row r="104" spans="1:9" x14ac:dyDescent="0.25">
      <c r="A104" s="2" t="s">
        <v>956</v>
      </c>
      <c r="B104" s="6" t="s">
        <v>316</v>
      </c>
      <c r="C104" s="6" t="s">
        <v>317</v>
      </c>
      <c r="D104" s="6" t="s">
        <v>11</v>
      </c>
      <c r="E104" s="6" t="s">
        <v>11</v>
      </c>
      <c r="F104" s="6" t="s">
        <v>11</v>
      </c>
      <c r="G104" s="6" t="s">
        <v>11</v>
      </c>
      <c r="H104" s="6" t="s">
        <v>318</v>
      </c>
      <c r="I104" s="6" t="s">
        <v>319</v>
      </c>
    </row>
    <row r="105" spans="1:9" x14ac:dyDescent="0.25">
      <c r="A105" s="2" t="s">
        <v>957</v>
      </c>
      <c r="B105" s="6" t="s">
        <v>320</v>
      </c>
      <c r="C105" s="6" t="s">
        <v>86</v>
      </c>
      <c r="D105" s="6" t="s">
        <v>321</v>
      </c>
      <c r="E105" s="6" t="s">
        <v>11</v>
      </c>
      <c r="F105" s="6" t="s">
        <v>322</v>
      </c>
      <c r="G105" s="6" t="s">
        <v>11</v>
      </c>
      <c r="H105" s="6" t="s">
        <v>323</v>
      </c>
      <c r="I105" s="6" t="s">
        <v>324</v>
      </c>
    </row>
    <row r="106" spans="1:9" x14ac:dyDescent="0.25">
      <c r="A106" s="2" t="s">
        <v>958</v>
      </c>
      <c r="B106" s="6" t="s">
        <v>325</v>
      </c>
      <c r="C106" s="6" t="s">
        <v>326</v>
      </c>
      <c r="D106" s="6" t="s">
        <v>11</v>
      </c>
      <c r="E106" s="6" t="s">
        <v>11</v>
      </c>
      <c r="F106" s="6" t="s">
        <v>11</v>
      </c>
      <c r="G106" s="6" t="s">
        <v>11</v>
      </c>
      <c r="H106" s="6" t="s">
        <v>11</v>
      </c>
      <c r="I106" s="6" t="s">
        <v>327</v>
      </c>
    </row>
    <row r="107" spans="1:9" x14ac:dyDescent="0.25">
      <c r="A107" s="2" t="s">
        <v>959</v>
      </c>
      <c r="B107" s="6" t="s">
        <v>172</v>
      </c>
      <c r="C107" s="6" t="s">
        <v>328</v>
      </c>
      <c r="D107" s="6" t="s">
        <v>11</v>
      </c>
      <c r="E107" s="6" t="s">
        <v>11</v>
      </c>
      <c r="F107" s="6" t="s">
        <v>11</v>
      </c>
      <c r="G107" s="6" t="s">
        <v>11</v>
      </c>
      <c r="H107" s="6" t="s">
        <v>329</v>
      </c>
      <c r="I107" s="6" t="s">
        <v>330</v>
      </c>
    </row>
    <row r="108" spans="1:9" x14ac:dyDescent="0.25">
      <c r="A108" s="2" t="s">
        <v>960</v>
      </c>
      <c r="B108" s="6" t="s">
        <v>135</v>
      </c>
      <c r="C108" s="6" t="s">
        <v>118</v>
      </c>
      <c r="D108" s="6" t="s">
        <v>331</v>
      </c>
      <c r="E108" s="6" t="s">
        <v>11</v>
      </c>
      <c r="F108" s="6" t="s">
        <v>11</v>
      </c>
      <c r="G108" s="6" t="s">
        <v>11</v>
      </c>
      <c r="H108" s="6" t="s">
        <v>11</v>
      </c>
      <c r="I108" s="6" t="s">
        <v>332</v>
      </c>
    </row>
    <row r="109" spans="1:9" x14ac:dyDescent="0.25">
      <c r="A109" s="2" t="s">
        <v>961</v>
      </c>
      <c r="B109" s="6" t="s">
        <v>333</v>
      </c>
      <c r="C109" s="6" t="s">
        <v>334</v>
      </c>
      <c r="D109" s="6" t="s">
        <v>11</v>
      </c>
      <c r="E109" s="6" t="s">
        <v>11</v>
      </c>
      <c r="F109" s="6" t="s">
        <v>11</v>
      </c>
      <c r="G109" s="6" t="s">
        <v>11</v>
      </c>
      <c r="H109" s="6" t="s">
        <v>11</v>
      </c>
      <c r="I109" s="6" t="s">
        <v>335</v>
      </c>
    </row>
    <row r="110" spans="1:9" x14ac:dyDescent="0.25">
      <c r="A110" s="2" t="s">
        <v>962</v>
      </c>
      <c r="B110" s="6" t="s">
        <v>65</v>
      </c>
      <c r="C110" s="6" t="s">
        <v>99</v>
      </c>
      <c r="D110" s="6" t="s">
        <v>11</v>
      </c>
      <c r="E110" s="6" t="s">
        <v>11</v>
      </c>
      <c r="F110" s="6" t="s">
        <v>11</v>
      </c>
      <c r="G110" s="6" t="s">
        <v>11</v>
      </c>
      <c r="H110" s="6" t="s">
        <v>11</v>
      </c>
      <c r="I110" s="6" t="s">
        <v>336</v>
      </c>
    </row>
    <row r="111" spans="1:9" x14ac:dyDescent="0.25">
      <c r="A111" s="2" t="s">
        <v>963</v>
      </c>
      <c r="B111" s="6" t="s">
        <v>337</v>
      </c>
      <c r="C111" s="6" t="s">
        <v>338</v>
      </c>
      <c r="D111" s="6" t="s">
        <v>11</v>
      </c>
      <c r="E111" s="6" t="s">
        <v>11</v>
      </c>
      <c r="F111" s="6" t="s">
        <v>11</v>
      </c>
      <c r="G111" s="6" t="s">
        <v>11</v>
      </c>
      <c r="H111" s="6" t="s">
        <v>11</v>
      </c>
      <c r="I111" s="6" t="s">
        <v>339</v>
      </c>
    </row>
    <row r="112" spans="1:9" x14ac:dyDescent="0.25">
      <c r="A112" s="2" t="s">
        <v>964</v>
      </c>
      <c r="B112" s="6" t="s">
        <v>16</v>
      </c>
      <c r="C112" s="6" t="s">
        <v>340</v>
      </c>
      <c r="D112" s="6" t="s">
        <v>11</v>
      </c>
      <c r="E112" s="6" t="s">
        <v>11</v>
      </c>
      <c r="F112" s="6" t="s">
        <v>11</v>
      </c>
      <c r="G112" s="6" t="s">
        <v>11</v>
      </c>
      <c r="H112" s="6" t="s">
        <v>341</v>
      </c>
      <c r="I112" s="6" t="s">
        <v>342</v>
      </c>
    </row>
    <row r="113" spans="1:9" x14ac:dyDescent="0.25">
      <c r="A113" s="2" t="s">
        <v>965</v>
      </c>
      <c r="B113" s="6" t="s">
        <v>343</v>
      </c>
      <c r="C113" s="6" t="s">
        <v>24</v>
      </c>
      <c r="D113" s="6" t="s">
        <v>11</v>
      </c>
      <c r="E113" s="6" t="s">
        <v>11</v>
      </c>
      <c r="F113" s="6" t="s">
        <v>11</v>
      </c>
      <c r="G113" s="6" t="s">
        <v>11</v>
      </c>
      <c r="H113" s="6" t="s">
        <v>11</v>
      </c>
      <c r="I113" s="6" t="s">
        <v>344</v>
      </c>
    </row>
    <row r="114" spans="1:9" x14ac:dyDescent="0.25">
      <c r="A114" s="2" t="s">
        <v>966</v>
      </c>
      <c r="B114" s="6" t="s">
        <v>345</v>
      </c>
      <c r="C114" s="6" t="s">
        <v>346</v>
      </c>
      <c r="D114" s="6" t="s">
        <v>11</v>
      </c>
      <c r="E114" s="6" t="s">
        <v>11</v>
      </c>
      <c r="F114" s="6" t="s">
        <v>11</v>
      </c>
      <c r="G114" s="6" t="s">
        <v>11</v>
      </c>
      <c r="H114" s="6" t="s">
        <v>11</v>
      </c>
      <c r="I114" s="6" t="s">
        <v>347</v>
      </c>
    </row>
    <row r="115" spans="1:9" x14ac:dyDescent="0.25">
      <c r="A115" s="2" t="s">
        <v>967</v>
      </c>
      <c r="B115" s="6" t="s">
        <v>272</v>
      </c>
      <c r="C115" s="6" t="s">
        <v>200</v>
      </c>
      <c r="D115" s="6" t="s">
        <v>11</v>
      </c>
      <c r="E115" s="6" t="s">
        <v>11</v>
      </c>
      <c r="F115" s="6" t="s">
        <v>11</v>
      </c>
      <c r="G115" s="6" t="s">
        <v>284</v>
      </c>
      <c r="H115" s="6" t="s">
        <v>348</v>
      </c>
      <c r="I115" s="6" t="s">
        <v>349</v>
      </c>
    </row>
    <row r="116" spans="1:9" x14ac:dyDescent="0.25">
      <c r="A116" s="2" t="s">
        <v>968</v>
      </c>
      <c r="B116" s="6" t="s">
        <v>156</v>
      </c>
      <c r="C116" s="6" t="s">
        <v>206</v>
      </c>
      <c r="D116" s="6" t="s">
        <v>11</v>
      </c>
      <c r="E116" s="6" t="s">
        <v>11</v>
      </c>
      <c r="F116" s="6" t="s">
        <v>11</v>
      </c>
      <c r="G116" s="6" t="s">
        <v>11</v>
      </c>
      <c r="H116" s="6" t="s">
        <v>11</v>
      </c>
      <c r="I116" s="6" t="s">
        <v>350</v>
      </c>
    </row>
    <row r="117" spans="1:9" x14ac:dyDescent="0.25">
      <c r="A117" s="2" t="s">
        <v>969</v>
      </c>
      <c r="B117" s="6" t="s">
        <v>351</v>
      </c>
      <c r="C117" s="6" t="s">
        <v>255</v>
      </c>
      <c r="D117" s="6" t="s">
        <v>11</v>
      </c>
      <c r="E117" s="6" t="s">
        <v>11</v>
      </c>
      <c r="F117" s="6" t="s">
        <v>11</v>
      </c>
      <c r="G117" s="6" t="s">
        <v>11</v>
      </c>
      <c r="H117" s="6" t="s">
        <v>11</v>
      </c>
      <c r="I117" s="6" t="s">
        <v>22</v>
      </c>
    </row>
    <row r="118" spans="1:9" x14ac:dyDescent="0.25">
      <c r="A118" s="2" t="s">
        <v>970</v>
      </c>
      <c r="B118" s="6" t="s">
        <v>352</v>
      </c>
      <c r="C118" s="6" t="s">
        <v>353</v>
      </c>
      <c r="D118" s="6" t="s">
        <v>11</v>
      </c>
      <c r="E118" s="6" t="s">
        <v>11</v>
      </c>
      <c r="F118" s="6" t="s">
        <v>11</v>
      </c>
      <c r="G118" s="6" t="s">
        <v>11</v>
      </c>
      <c r="H118" s="6" t="s">
        <v>11</v>
      </c>
      <c r="I118" s="6" t="s">
        <v>354</v>
      </c>
    </row>
    <row r="119" spans="1:9" x14ac:dyDescent="0.25">
      <c r="A119" s="2" t="s">
        <v>971</v>
      </c>
      <c r="B119" s="6" t="s">
        <v>355</v>
      </c>
      <c r="C119" s="6" t="s">
        <v>206</v>
      </c>
      <c r="D119" s="6" t="s">
        <v>11</v>
      </c>
      <c r="E119" s="6" t="s">
        <v>11</v>
      </c>
      <c r="F119" s="6" t="s">
        <v>11</v>
      </c>
      <c r="G119" s="6" t="s">
        <v>11</v>
      </c>
      <c r="H119" s="6" t="s">
        <v>356</v>
      </c>
      <c r="I119" s="6" t="s">
        <v>357</v>
      </c>
    </row>
    <row r="120" spans="1:9" x14ac:dyDescent="0.25">
      <c r="A120" s="2" t="s">
        <v>972</v>
      </c>
      <c r="B120" s="6" t="s">
        <v>358</v>
      </c>
      <c r="C120" s="6" t="s">
        <v>359</v>
      </c>
      <c r="D120" s="6" t="s">
        <v>11</v>
      </c>
      <c r="E120" s="6" t="s">
        <v>11</v>
      </c>
      <c r="F120" s="6" t="s">
        <v>11</v>
      </c>
      <c r="G120" s="6" t="s">
        <v>11</v>
      </c>
      <c r="H120" s="6" t="s">
        <v>360</v>
      </c>
      <c r="I120" s="6" t="s">
        <v>361</v>
      </c>
    </row>
    <row r="121" spans="1:9" x14ac:dyDescent="0.25">
      <c r="A121" s="2" t="s">
        <v>973</v>
      </c>
      <c r="B121" s="6" t="s">
        <v>362</v>
      </c>
      <c r="C121" s="6" t="s">
        <v>121</v>
      </c>
      <c r="D121" s="6" t="s">
        <v>11</v>
      </c>
      <c r="E121" s="6" t="s">
        <v>11</v>
      </c>
      <c r="F121" s="6" t="s">
        <v>11</v>
      </c>
      <c r="G121" s="6" t="s">
        <v>11</v>
      </c>
      <c r="H121" s="6" t="s">
        <v>11</v>
      </c>
      <c r="I121" s="6" t="s">
        <v>363</v>
      </c>
    </row>
    <row r="122" spans="1:9" x14ac:dyDescent="0.25">
      <c r="A122" s="2" t="s">
        <v>974</v>
      </c>
      <c r="B122" s="6" t="s">
        <v>260</v>
      </c>
      <c r="C122" s="6" t="s">
        <v>364</v>
      </c>
      <c r="D122" s="6" t="s">
        <v>11</v>
      </c>
      <c r="E122" s="6" t="s">
        <v>11</v>
      </c>
      <c r="F122" s="6" t="s">
        <v>365</v>
      </c>
      <c r="G122" s="6" t="s">
        <v>11</v>
      </c>
      <c r="H122" s="6" t="s">
        <v>11</v>
      </c>
      <c r="I122" s="6" t="s">
        <v>366</v>
      </c>
    </row>
    <row r="123" spans="1:9" x14ac:dyDescent="0.25">
      <c r="A123" s="2" t="s">
        <v>975</v>
      </c>
      <c r="B123" s="6" t="s">
        <v>367</v>
      </c>
      <c r="C123" s="6" t="s">
        <v>368</v>
      </c>
      <c r="D123" s="6" t="s">
        <v>369</v>
      </c>
      <c r="E123" s="6" t="s">
        <v>11</v>
      </c>
      <c r="F123" s="6" t="s">
        <v>11</v>
      </c>
      <c r="G123" s="6" t="s">
        <v>11</v>
      </c>
      <c r="H123" s="6" t="s">
        <v>370</v>
      </c>
      <c r="I123" s="6" t="s">
        <v>371</v>
      </c>
    </row>
    <row r="124" spans="1:9" x14ac:dyDescent="0.25">
      <c r="A124" s="2" t="s">
        <v>976</v>
      </c>
      <c r="B124" s="6" t="s">
        <v>367</v>
      </c>
      <c r="C124" s="6" t="s">
        <v>102</v>
      </c>
      <c r="D124" s="6" t="s">
        <v>11</v>
      </c>
      <c r="E124" s="6" t="s">
        <v>11</v>
      </c>
      <c r="F124" s="6" t="s">
        <v>11</v>
      </c>
      <c r="G124" s="6" t="s">
        <v>11</v>
      </c>
      <c r="H124" s="6" t="s">
        <v>11</v>
      </c>
      <c r="I124" s="6" t="s">
        <v>15</v>
      </c>
    </row>
    <row r="125" spans="1:9" x14ac:dyDescent="0.25">
      <c r="A125" s="2" t="s">
        <v>977</v>
      </c>
      <c r="B125" s="6" t="s">
        <v>372</v>
      </c>
      <c r="C125" s="6" t="s">
        <v>62</v>
      </c>
      <c r="D125" s="6" t="s">
        <v>11</v>
      </c>
      <c r="E125" s="6" t="s">
        <v>11</v>
      </c>
      <c r="F125" s="6" t="s">
        <v>11</v>
      </c>
      <c r="G125" s="6" t="s">
        <v>11</v>
      </c>
      <c r="H125" s="6" t="s">
        <v>11</v>
      </c>
      <c r="I125" s="6" t="s">
        <v>373</v>
      </c>
    </row>
    <row r="126" spans="1:9" x14ac:dyDescent="0.25">
      <c r="A126" s="2" t="s">
        <v>978</v>
      </c>
      <c r="B126" s="6" t="s">
        <v>374</v>
      </c>
      <c r="C126" s="6" t="s">
        <v>375</v>
      </c>
      <c r="D126" s="6" t="s">
        <v>11</v>
      </c>
      <c r="E126" s="6" t="s">
        <v>11</v>
      </c>
      <c r="F126" s="6" t="s">
        <v>11</v>
      </c>
      <c r="G126" s="6" t="s">
        <v>11</v>
      </c>
      <c r="H126" s="6" t="s">
        <v>99</v>
      </c>
      <c r="I126" s="6" t="s">
        <v>376</v>
      </c>
    </row>
    <row r="127" spans="1:9" x14ac:dyDescent="0.25">
      <c r="A127" s="2" t="s">
        <v>979</v>
      </c>
      <c r="B127" s="6" t="s">
        <v>377</v>
      </c>
      <c r="C127" s="6" t="s">
        <v>378</v>
      </c>
      <c r="D127" s="6" t="s">
        <v>11</v>
      </c>
      <c r="E127" s="6" t="s">
        <v>11</v>
      </c>
      <c r="F127" s="6" t="s">
        <v>379</v>
      </c>
      <c r="G127" s="6" t="s">
        <v>11</v>
      </c>
      <c r="H127" s="6" t="s">
        <v>11</v>
      </c>
      <c r="I127" s="6" t="s">
        <v>380</v>
      </c>
    </row>
    <row r="128" spans="1:9" x14ac:dyDescent="0.25">
      <c r="A128" s="2" t="s">
        <v>980</v>
      </c>
      <c r="B128" s="6" t="s">
        <v>367</v>
      </c>
      <c r="C128" s="6" t="s">
        <v>381</v>
      </c>
      <c r="D128" s="6" t="s">
        <v>11</v>
      </c>
      <c r="E128" s="6" t="s">
        <v>382</v>
      </c>
      <c r="F128" s="6" t="s">
        <v>11</v>
      </c>
      <c r="G128" s="6" t="s">
        <v>11</v>
      </c>
      <c r="H128" s="6" t="s">
        <v>11</v>
      </c>
      <c r="I128" s="6" t="s">
        <v>383</v>
      </c>
    </row>
    <row r="129" spans="1:9" x14ac:dyDescent="0.25">
      <c r="A129" s="2" t="s">
        <v>981</v>
      </c>
      <c r="B129" s="6" t="s">
        <v>126</v>
      </c>
      <c r="C129" s="6" t="s">
        <v>384</v>
      </c>
      <c r="D129" s="6" t="s">
        <v>11</v>
      </c>
      <c r="E129" s="6" t="s">
        <v>11</v>
      </c>
      <c r="F129" s="6" t="s">
        <v>11</v>
      </c>
      <c r="G129" s="6" t="s">
        <v>385</v>
      </c>
      <c r="H129" s="6" t="s">
        <v>11</v>
      </c>
      <c r="I129" s="6" t="s">
        <v>386</v>
      </c>
    </row>
    <row r="130" spans="1:9" x14ac:dyDescent="0.25">
      <c r="A130" s="2" t="s">
        <v>982</v>
      </c>
      <c r="B130" s="6" t="s">
        <v>93</v>
      </c>
      <c r="C130" s="6" t="s">
        <v>387</v>
      </c>
      <c r="D130" s="6" t="s">
        <v>11</v>
      </c>
      <c r="E130" s="6" t="s">
        <v>388</v>
      </c>
      <c r="F130" s="6" t="s">
        <v>389</v>
      </c>
      <c r="G130" s="6" t="s">
        <v>11</v>
      </c>
      <c r="H130" s="6" t="s">
        <v>11</v>
      </c>
      <c r="I130" s="6" t="s">
        <v>390</v>
      </c>
    </row>
    <row r="131" spans="1:9" x14ac:dyDescent="0.25">
      <c r="A131" s="2" t="s">
        <v>983</v>
      </c>
      <c r="B131" s="6" t="s">
        <v>16</v>
      </c>
      <c r="C131" s="6" t="s">
        <v>391</v>
      </c>
      <c r="D131" s="6" t="s">
        <v>11</v>
      </c>
      <c r="E131" s="6" t="s">
        <v>11</v>
      </c>
      <c r="F131" s="6" t="s">
        <v>11</v>
      </c>
      <c r="G131" s="6" t="s">
        <v>11</v>
      </c>
      <c r="H131" s="6" t="s">
        <v>11</v>
      </c>
      <c r="I131" s="6" t="s">
        <v>392</v>
      </c>
    </row>
    <row r="132" spans="1:9" x14ac:dyDescent="0.25">
      <c r="A132" s="2" t="s">
        <v>984</v>
      </c>
      <c r="B132" s="6" t="s">
        <v>131</v>
      </c>
      <c r="C132" s="6" t="s">
        <v>384</v>
      </c>
      <c r="D132" s="6" t="s">
        <v>11</v>
      </c>
      <c r="E132" s="6" t="s">
        <v>11</v>
      </c>
      <c r="F132" s="6" t="s">
        <v>11</v>
      </c>
      <c r="G132" s="6" t="s">
        <v>11</v>
      </c>
      <c r="H132" s="6" t="s">
        <v>393</v>
      </c>
      <c r="I132" s="6" t="s">
        <v>394</v>
      </c>
    </row>
    <row r="133" spans="1:9" x14ac:dyDescent="0.25">
      <c r="A133" s="2" t="s">
        <v>985</v>
      </c>
      <c r="B133" s="6" t="s">
        <v>47</v>
      </c>
      <c r="C133" s="6" t="s">
        <v>395</v>
      </c>
      <c r="D133" s="6" t="s">
        <v>11</v>
      </c>
      <c r="E133" s="6" t="s">
        <v>11</v>
      </c>
      <c r="F133" s="6" t="s">
        <v>11</v>
      </c>
      <c r="G133" s="6" t="s">
        <v>11</v>
      </c>
      <c r="H133" s="6" t="s">
        <v>396</v>
      </c>
      <c r="I133" s="6" t="s">
        <v>397</v>
      </c>
    </row>
    <row r="134" spans="1:9" x14ac:dyDescent="0.25">
      <c r="A134" s="2" t="s">
        <v>986</v>
      </c>
      <c r="B134" s="6" t="s">
        <v>398</v>
      </c>
      <c r="C134" s="6" t="s">
        <v>399</v>
      </c>
      <c r="D134" s="6" t="s">
        <v>11</v>
      </c>
      <c r="E134" s="6" t="s">
        <v>11</v>
      </c>
      <c r="F134" s="6" t="s">
        <v>11</v>
      </c>
      <c r="G134" s="6" t="s">
        <v>11</v>
      </c>
      <c r="H134" s="6" t="s">
        <v>11</v>
      </c>
      <c r="I134" s="6" t="s">
        <v>400</v>
      </c>
    </row>
    <row r="135" spans="1:9" x14ac:dyDescent="0.25">
      <c r="A135" s="2" t="s">
        <v>987</v>
      </c>
      <c r="B135" s="6" t="s">
        <v>401</v>
      </c>
      <c r="C135" s="6" t="s">
        <v>402</v>
      </c>
      <c r="D135" s="6" t="s">
        <v>284</v>
      </c>
      <c r="E135" s="6" t="s">
        <v>11</v>
      </c>
      <c r="F135" s="6" t="s">
        <v>11</v>
      </c>
      <c r="G135" s="6" t="s">
        <v>403</v>
      </c>
      <c r="H135" s="6" t="s">
        <v>404</v>
      </c>
      <c r="I135" s="6" t="s">
        <v>405</v>
      </c>
    </row>
    <row r="136" spans="1:9" x14ac:dyDescent="0.25">
      <c r="A136" s="2" t="s">
        <v>988</v>
      </c>
      <c r="B136" s="6" t="s">
        <v>406</v>
      </c>
      <c r="C136" s="6" t="s">
        <v>212</v>
      </c>
      <c r="D136" s="6" t="s">
        <v>407</v>
      </c>
      <c r="E136" s="6" t="s">
        <v>11</v>
      </c>
      <c r="F136" s="6" t="s">
        <v>11</v>
      </c>
      <c r="G136" s="6" t="s">
        <v>11</v>
      </c>
      <c r="H136" s="6" t="s">
        <v>11</v>
      </c>
      <c r="I136" s="6" t="s">
        <v>408</v>
      </c>
    </row>
    <row r="137" spans="1:9" x14ac:dyDescent="0.25">
      <c r="A137" s="2" t="s">
        <v>989</v>
      </c>
      <c r="B137" s="6" t="s">
        <v>409</v>
      </c>
      <c r="C137" s="6" t="s">
        <v>410</v>
      </c>
      <c r="D137" s="6" t="s">
        <v>11</v>
      </c>
      <c r="E137" s="6" t="s">
        <v>411</v>
      </c>
      <c r="F137" s="6" t="s">
        <v>11</v>
      </c>
      <c r="G137" s="6" t="s">
        <v>11</v>
      </c>
      <c r="H137" s="6" t="s">
        <v>11</v>
      </c>
      <c r="I137" s="6" t="s">
        <v>412</v>
      </c>
    </row>
    <row r="138" spans="1:9" x14ac:dyDescent="0.25">
      <c r="A138" s="2" t="s">
        <v>990</v>
      </c>
      <c r="B138" s="6" t="s">
        <v>413</v>
      </c>
      <c r="C138" s="6" t="s">
        <v>414</v>
      </c>
      <c r="D138" s="6" t="s">
        <v>11</v>
      </c>
      <c r="E138" s="6" t="s">
        <v>11</v>
      </c>
      <c r="F138" s="6" t="s">
        <v>11</v>
      </c>
      <c r="G138" s="6" t="s">
        <v>11</v>
      </c>
      <c r="H138" s="6" t="s">
        <v>11</v>
      </c>
      <c r="I138" s="6" t="s">
        <v>415</v>
      </c>
    </row>
    <row r="139" spans="1:9" x14ac:dyDescent="0.25">
      <c r="A139" s="2" t="s">
        <v>991</v>
      </c>
      <c r="B139" s="6" t="s">
        <v>11</v>
      </c>
      <c r="C139" s="6" t="s">
        <v>416</v>
      </c>
      <c r="D139" s="6" t="s">
        <v>11</v>
      </c>
      <c r="E139" s="6" t="s">
        <v>11</v>
      </c>
      <c r="F139" s="6" t="s">
        <v>417</v>
      </c>
      <c r="G139" s="6" t="s">
        <v>11</v>
      </c>
      <c r="H139" s="6" t="s">
        <v>11</v>
      </c>
      <c r="I139" s="6" t="s">
        <v>418</v>
      </c>
    </row>
    <row r="140" spans="1:9" x14ac:dyDescent="0.25">
      <c r="A140" s="2" t="s">
        <v>992</v>
      </c>
      <c r="B140" s="6" t="s">
        <v>177</v>
      </c>
      <c r="C140" s="6" t="s">
        <v>375</v>
      </c>
      <c r="D140" s="6" t="s">
        <v>419</v>
      </c>
      <c r="E140" s="6" t="s">
        <v>11</v>
      </c>
      <c r="F140" s="6" t="s">
        <v>11</v>
      </c>
      <c r="G140" s="6" t="s">
        <v>11</v>
      </c>
      <c r="H140" s="6" t="s">
        <v>11</v>
      </c>
      <c r="I140" s="6" t="s">
        <v>420</v>
      </c>
    </row>
    <row r="141" spans="1:9" x14ac:dyDescent="0.25">
      <c r="A141" s="2" t="s">
        <v>993</v>
      </c>
      <c r="B141" s="6" t="s">
        <v>101</v>
      </c>
      <c r="C141" s="6" t="s">
        <v>162</v>
      </c>
      <c r="D141" s="6" t="s">
        <v>11</v>
      </c>
      <c r="E141" s="6" t="s">
        <v>11</v>
      </c>
      <c r="F141" s="6" t="s">
        <v>11</v>
      </c>
      <c r="G141" s="6" t="s">
        <v>11</v>
      </c>
      <c r="H141" s="6" t="s">
        <v>11</v>
      </c>
      <c r="I141" s="6" t="s">
        <v>421</v>
      </c>
    </row>
    <row r="142" spans="1:9" x14ac:dyDescent="0.25">
      <c r="A142" s="2" t="s">
        <v>994</v>
      </c>
      <c r="B142" s="6" t="s">
        <v>422</v>
      </c>
      <c r="C142" s="6" t="s">
        <v>423</v>
      </c>
      <c r="D142" s="6" t="s">
        <v>11</v>
      </c>
      <c r="E142" s="6" t="s">
        <v>424</v>
      </c>
      <c r="F142" s="6" t="s">
        <v>425</v>
      </c>
      <c r="G142" s="6" t="s">
        <v>11</v>
      </c>
      <c r="H142" s="6" t="s">
        <v>11</v>
      </c>
      <c r="I142" s="6" t="s">
        <v>426</v>
      </c>
    </row>
    <row r="143" spans="1:9" x14ac:dyDescent="0.25">
      <c r="A143" s="2" t="s">
        <v>995</v>
      </c>
      <c r="B143" s="6" t="s">
        <v>427</v>
      </c>
      <c r="C143" s="6" t="s">
        <v>188</v>
      </c>
      <c r="D143" s="6" t="s">
        <v>11</v>
      </c>
      <c r="E143" s="6" t="s">
        <v>11</v>
      </c>
      <c r="F143" s="6" t="s">
        <v>11</v>
      </c>
      <c r="G143" s="6" t="s">
        <v>11</v>
      </c>
      <c r="H143" s="6" t="s">
        <v>11</v>
      </c>
      <c r="I143" s="6" t="s">
        <v>170</v>
      </c>
    </row>
    <row r="144" spans="1:9" x14ac:dyDescent="0.25">
      <c r="A144" s="2" t="s">
        <v>996</v>
      </c>
      <c r="B144" s="6" t="s">
        <v>428</v>
      </c>
      <c r="C144" s="6" t="s">
        <v>429</v>
      </c>
      <c r="D144" s="6" t="s">
        <v>11</v>
      </c>
      <c r="E144" s="6" t="s">
        <v>11</v>
      </c>
      <c r="F144" s="6" t="s">
        <v>11</v>
      </c>
      <c r="G144" s="6" t="s">
        <v>11</v>
      </c>
      <c r="H144" s="6" t="s">
        <v>430</v>
      </c>
      <c r="I144" s="6" t="s">
        <v>431</v>
      </c>
    </row>
    <row r="145" spans="1:9" x14ac:dyDescent="0.25">
      <c r="A145" s="2" t="s">
        <v>997</v>
      </c>
      <c r="B145" s="6" t="s">
        <v>135</v>
      </c>
      <c r="C145" s="6" t="s">
        <v>432</v>
      </c>
      <c r="D145" s="6" t="s">
        <v>11</v>
      </c>
      <c r="E145" s="6" t="s">
        <v>11</v>
      </c>
      <c r="F145" s="6" t="s">
        <v>11</v>
      </c>
      <c r="G145" s="6" t="s">
        <v>11</v>
      </c>
      <c r="H145" s="6" t="s">
        <v>11</v>
      </c>
      <c r="I145" s="6" t="s">
        <v>280</v>
      </c>
    </row>
    <row r="146" spans="1:9" x14ac:dyDescent="0.25">
      <c r="A146" s="2" t="s">
        <v>998</v>
      </c>
      <c r="B146" s="6" t="s">
        <v>85</v>
      </c>
      <c r="C146" s="6" t="s">
        <v>433</v>
      </c>
      <c r="D146" s="6" t="s">
        <v>11</v>
      </c>
      <c r="E146" s="6" t="s">
        <v>11</v>
      </c>
      <c r="F146" s="6" t="s">
        <v>11</v>
      </c>
      <c r="G146" s="6" t="s">
        <v>11</v>
      </c>
      <c r="H146" s="6" t="s">
        <v>11</v>
      </c>
      <c r="I146" s="6" t="s">
        <v>434</v>
      </c>
    </row>
    <row r="147" spans="1:9" x14ac:dyDescent="0.25">
      <c r="A147" s="2" t="s">
        <v>999</v>
      </c>
      <c r="B147" s="6" t="s">
        <v>435</v>
      </c>
      <c r="C147" s="6" t="s">
        <v>436</v>
      </c>
      <c r="D147" s="6" t="s">
        <v>11</v>
      </c>
      <c r="E147" s="6" t="s">
        <v>437</v>
      </c>
      <c r="F147" s="6" t="s">
        <v>11</v>
      </c>
      <c r="G147" s="6" t="s">
        <v>11</v>
      </c>
      <c r="H147" s="6" t="s">
        <v>438</v>
      </c>
      <c r="I147" s="6" t="s">
        <v>439</v>
      </c>
    </row>
    <row r="148" spans="1:9" x14ac:dyDescent="0.25">
      <c r="A148" s="2" t="s">
        <v>1000</v>
      </c>
      <c r="B148" s="6" t="s">
        <v>440</v>
      </c>
      <c r="C148" s="6" t="s">
        <v>441</v>
      </c>
      <c r="D148" s="6" t="s">
        <v>11</v>
      </c>
      <c r="E148" s="6" t="s">
        <v>11</v>
      </c>
      <c r="F148" s="6" t="s">
        <v>11</v>
      </c>
      <c r="G148" s="6" t="s">
        <v>11</v>
      </c>
      <c r="H148" s="6" t="s">
        <v>11</v>
      </c>
      <c r="I148" s="6" t="s">
        <v>442</v>
      </c>
    </row>
    <row r="149" spans="1:9" x14ac:dyDescent="0.25">
      <c r="A149" s="2" t="s">
        <v>1001</v>
      </c>
      <c r="B149" s="6" t="s">
        <v>11</v>
      </c>
      <c r="C149" s="6" t="s">
        <v>443</v>
      </c>
      <c r="D149" s="6" t="s">
        <v>11</v>
      </c>
      <c r="E149" s="6" t="s">
        <v>11</v>
      </c>
      <c r="F149" s="6" t="s">
        <v>11</v>
      </c>
      <c r="G149" s="6" t="s">
        <v>11</v>
      </c>
      <c r="H149" s="6" t="s">
        <v>11</v>
      </c>
      <c r="I149" s="6" t="s">
        <v>283</v>
      </c>
    </row>
    <row r="150" spans="1:9" x14ac:dyDescent="0.25">
      <c r="A150" s="2" t="s">
        <v>1002</v>
      </c>
      <c r="B150" s="6" t="s">
        <v>444</v>
      </c>
      <c r="C150" s="6" t="s">
        <v>445</v>
      </c>
      <c r="D150" s="6" t="s">
        <v>446</v>
      </c>
      <c r="E150" s="6" t="s">
        <v>11</v>
      </c>
      <c r="F150" s="6" t="s">
        <v>11</v>
      </c>
      <c r="G150" s="6" t="s">
        <v>11</v>
      </c>
      <c r="H150" s="6" t="s">
        <v>11</v>
      </c>
      <c r="I150" s="6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zoomScale="175" zoomScaleNormal="175" workbookViewId="0">
      <selection sqref="A1:Q1048576"/>
    </sheetView>
  </sheetViews>
  <sheetFormatPr defaultRowHeight="15" x14ac:dyDescent="0.25"/>
  <cols>
    <col min="1" max="1" width="27.140625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7109375" customWidth="1"/>
    <col min="17" max="17" width="6.28515625" bestFit="1" customWidth="1"/>
  </cols>
  <sheetData>
    <row r="1" spans="1:17" s="9" customFormat="1" ht="25.5" x14ac:dyDescent="0.25">
      <c r="A1" s="1" t="s">
        <v>0</v>
      </c>
      <c r="B1" s="1" t="s">
        <v>447</v>
      </c>
      <c r="C1" s="1" t="s">
        <v>448</v>
      </c>
      <c r="D1" s="1" t="s">
        <v>449</v>
      </c>
      <c r="E1" s="1" t="s">
        <v>450</v>
      </c>
      <c r="F1" s="1" t="s">
        <v>451</v>
      </c>
      <c r="G1" s="1" t="s">
        <v>452</v>
      </c>
      <c r="H1" s="1" t="s">
        <v>453</v>
      </c>
      <c r="I1" s="1" t="s">
        <v>454</v>
      </c>
      <c r="J1" s="1" t="s">
        <v>455</v>
      </c>
      <c r="K1" s="1" t="s">
        <v>456</v>
      </c>
      <c r="L1" s="1" t="s">
        <v>457</v>
      </c>
      <c r="M1" s="1" t="s">
        <v>458</v>
      </c>
      <c r="N1" s="1" t="s">
        <v>459</v>
      </c>
      <c r="O1" s="1" t="s">
        <v>460</v>
      </c>
      <c r="P1" s="1" t="s">
        <v>461</v>
      </c>
      <c r="Q1" s="1" t="s">
        <v>462</v>
      </c>
    </row>
    <row r="2" spans="1:17" ht="14.45" x14ac:dyDescent="0.3">
      <c r="A2" s="2" t="s">
        <v>854</v>
      </c>
      <c r="B2" s="6" t="s">
        <v>463</v>
      </c>
      <c r="C2" s="6" t="s">
        <v>464</v>
      </c>
      <c r="D2" s="3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8">
        <v>2</v>
      </c>
      <c r="O2" s="8">
        <v>3</v>
      </c>
      <c r="P2" s="8">
        <v>0</v>
      </c>
      <c r="Q2" s="8">
        <v>0</v>
      </c>
    </row>
    <row r="3" spans="1:17" ht="14.45" x14ac:dyDescent="0.3">
      <c r="A3" s="2" t="s">
        <v>855</v>
      </c>
      <c r="B3" s="6" t="s">
        <v>465</v>
      </c>
      <c r="C3" s="6" t="s">
        <v>466</v>
      </c>
      <c r="D3" s="3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8">
        <v>2</v>
      </c>
      <c r="O3" s="8">
        <v>1</v>
      </c>
      <c r="P3" s="8">
        <v>0</v>
      </c>
      <c r="Q3" s="8">
        <v>0</v>
      </c>
    </row>
    <row r="4" spans="1:17" ht="14.45" x14ac:dyDescent="0.3">
      <c r="A4" s="2" t="s">
        <v>856</v>
      </c>
      <c r="B4" s="6" t="s">
        <v>467</v>
      </c>
      <c r="C4" s="6" t="s">
        <v>468</v>
      </c>
      <c r="D4" s="3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8">
        <v>6</v>
      </c>
      <c r="O4" s="8">
        <v>3</v>
      </c>
      <c r="P4" s="8">
        <v>4</v>
      </c>
      <c r="Q4" s="8">
        <v>1</v>
      </c>
    </row>
    <row r="5" spans="1:17" ht="14.45" x14ac:dyDescent="0.3">
      <c r="A5" s="2" t="s">
        <v>857</v>
      </c>
      <c r="B5" s="6" t="s">
        <v>469</v>
      </c>
      <c r="C5" s="6" t="s">
        <v>470</v>
      </c>
      <c r="D5" s="3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8">
        <v>1</v>
      </c>
      <c r="O5" s="8">
        <v>2</v>
      </c>
      <c r="P5" s="8">
        <v>0</v>
      </c>
      <c r="Q5" s="8">
        <v>0</v>
      </c>
    </row>
    <row r="6" spans="1:17" ht="14.45" x14ac:dyDescent="0.3">
      <c r="A6" s="2" t="s">
        <v>858</v>
      </c>
      <c r="B6" s="6" t="s">
        <v>471</v>
      </c>
      <c r="C6" s="6" t="s">
        <v>472</v>
      </c>
      <c r="D6" s="3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8">
        <v>0</v>
      </c>
      <c r="O6" s="8">
        <v>4</v>
      </c>
      <c r="P6" s="8">
        <v>0</v>
      </c>
      <c r="Q6" s="8">
        <v>0</v>
      </c>
    </row>
    <row r="7" spans="1:17" ht="14.45" x14ac:dyDescent="0.3">
      <c r="A7" s="2" t="s">
        <v>859</v>
      </c>
      <c r="B7" s="6" t="s">
        <v>473</v>
      </c>
      <c r="C7" s="6" t="s">
        <v>474</v>
      </c>
      <c r="D7" s="3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8">
        <v>2</v>
      </c>
      <c r="O7" s="8">
        <v>8</v>
      </c>
      <c r="P7" s="8">
        <v>2</v>
      </c>
      <c r="Q7" s="8">
        <v>0</v>
      </c>
    </row>
    <row r="8" spans="1:17" ht="14.45" x14ac:dyDescent="0.3">
      <c r="A8" s="2" t="s">
        <v>860</v>
      </c>
      <c r="B8" s="6" t="s">
        <v>475</v>
      </c>
      <c r="C8" s="6" t="s">
        <v>476</v>
      </c>
      <c r="D8" s="3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8">
        <v>0</v>
      </c>
      <c r="O8" s="8">
        <v>0</v>
      </c>
      <c r="P8" s="8">
        <v>0</v>
      </c>
      <c r="Q8" s="8">
        <v>0</v>
      </c>
    </row>
    <row r="9" spans="1:17" ht="14.45" x14ac:dyDescent="0.3">
      <c r="A9" s="2" t="s">
        <v>861</v>
      </c>
      <c r="B9" s="6" t="s">
        <v>477</v>
      </c>
      <c r="C9" s="6" t="s">
        <v>478</v>
      </c>
      <c r="D9" s="3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8">
        <v>0</v>
      </c>
      <c r="O9" s="8">
        <v>8</v>
      </c>
      <c r="P9" s="8">
        <v>3</v>
      </c>
      <c r="Q9" s="8">
        <v>1</v>
      </c>
    </row>
    <row r="10" spans="1:17" ht="14.45" x14ac:dyDescent="0.3">
      <c r="A10" s="2" t="s">
        <v>862</v>
      </c>
      <c r="B10" s="6" t="s">
        <v>479</v>
      </c>
      <c r="C10" s="6" t="s">
        <v>480</v>
      </c>
      <c r="D10" s="3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8">
        <v>4</v>
      </c>
      <c r="O10" s="8">
        <v>0</v>
      </c>
      <c r="P10" s="8">
        <v>0</v>
      </c>
      <c r="Q10" s="8">
        <v>0</v>
      </c>
    </row>
    <row r="11" spans="1:17" ht="14.45" x14ac:dyDescent="0.3">
      <c r="A11" s="2" t="s">
        <v>863</v>
      </c>
      <c r="B11" s="6" t="s">
        <v>481</v>
      </c>
      <c r="C11" s="6" t="s">
        <v>482</v>
      </c>
      <c r="D11" s="3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8">
        <v>2</v>
      </c>
      <c r="O11" s="8">
        <v>0</v>
      </c>
      <c r="P11" s="8">
        <v>0</v>
      </c>
      <c r="Q11" s="8">
        <v>0</v>
      </c>
    </row>
    <row r="12" spans="1:17" ht="14.45" x14ac:dyDescent="0.3">
      <c r="A12" s="2" t="s">
        <v>864</v>
      </c>
      <c r="B12" s="6" t="s">
        <v>483</v>
      </c>
      <c r="C12" s="6" t="s">
        <v>484</v>
      </c>
      <c r="D12" s="3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8">
        <v>2</v>
      </c>
      <c r="O12" s="8">
        <v>3</v>
      </c>
      <c r="P12" s="8">
        <v>3</v>
      </c>
      <c r="Q12" s="8">
        <v>0</v>
      </c>
    </row>
    <row r="13" spans="1:17" ht="14.45" x14ac:dyDescent="0.3">
      <c r="A13" s="2" t="s">
        <v>865</v>
      </c>
      <c r="B13" s="6" t="s">
        <v>485</v>
      </c>
      <c r="C13" s="6" t="s">
        <v>486</v>
      </c>
      <c r="D13" s="3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8">
        <v>0</v>
      </c>
      <c r="O13" s="8">
        <v>8</v>
      </c>
      <c r="P13" s="8">
        <v>0</v>
      </c>
      <c r="Q13" s="8">
        <v>0</v>
      </c>
    </row>
    <row r="14" spans="1:17" ht="14.45" x14ac:dyDescent="0.3">
      <c r="A14" s="2" t="s">
        <v>866</v>
      </c>
      <c r="B14" s="6" t="s">
        <v>487</v>
      </c>
      <c r="C14" s="6" t="s">
        <v>488</v>
      </c>
      <c r="D14" s="3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8">
        <v>1</v>
      </c>
      <c r="O14" s="8">
        <v>9</v>
      </c>
      <c r="P14" s="8">
        <v>0</v>
      </c>
      <c r="Q14" s="8">
        <v>0</v>
      </c>
    </row>
    <row r="15" spans="1:17" ht="14.45" x14ac:dyDescent="0.3">
      <c r="A15" s="2" t="s">
        <v>867</v>
      </c>
      <c r="B15" s="6" t="s">
        <v>489</v>
      </c>
      <c r="C15" s="6" t="s">
        <v>490</v>
      </c>
      <c r="D15" s="3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8">
        <v>1</v>
      </c>
      <c r="O15" s="8">
        <v>8</v>
      </c>
      <c r="P15" s="8">
        <v>3</v>
      </c>
      <c r="Q15" s="8">
        <v>1</v>
      </c>
    </row>
    <row r="16" spans="1:17" x14ac:dyDescent="0.25">
      <c r="A16" s="2" t="s">
        <v>868</v>
      </c>
      <c r="B16" s="6" t="s">
        <v>491</v>
      </c>
      <c r="C16" s="6" t="s">
        <v>492</v>
      </c>
      <c r="D16" s="3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8">
        <v>2</v>
      </c>
      <c r="O16" s="8">
        <v>4</v>
      </c>
      <c r="P16" s="8">
        <v>7</v>
      </c>
      <c r="Q16" s="8">
        <v>0</v>
      </c>
    </row>
    <row r="17" spans="1:17" x14ac:dyDescent="0.25">
      <c r="A17" s="2" t="s">
        <v>869</v>
      </c>
      <c r="B17" s="6" t="s">
        <v>493</v>
      </c>
      <c r="C17" s="6" t="s">
        <v>494</v>
      </c>
      <c r="D17" s="3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8">
        <v>2</v>
      </c>
      <c r="O17" s="8">
        <v>1</v>
      </c>
      <c r="P17" s="8">
        <v>0</v>
      </c>
      <c r="Q17" s="8">
        <v>0</v>
      </c>
    </row>
    <row r="18" spans="1:17" x14ac:dyDescent="0.25">
      <c r="A18" s="2" t="s">
        <v>870</v>
      </c>
      <c r="B18" s="6" t="s">
        <v>495</v>
      </c>
      <c r="C18" s="6" t="s">
        <v>496</v>
      </c>
      <c r="D18" s="3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8">
        <v>1</v>
      </c>
      <c r="O18" s="8">
        <v>1</v>
      </c>
      <c r="P18" s="8">
        <v>0</v>
      </c>
      <c r="Q18" s="8">
        <v>1</v>
      </c>
    </row>
    <row r="19" spans="1:17" x14ac:dyDescent="0.25">
      <c r="A19" s="2" t="s">
        <v>871</v>
      </c>
      <c r="B19" s="6" t="s">
        <v>497</v>
      </c>
      <c r="C19" s="6" t="s">
        <v>482</v>
      </c>
      <c r="D19" s="3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8">
        <v>2</v>
      </c>
      <c r="O19" s="8">
        <v>0</v>
      </c>
      <c r="P19" s="8">
        <v>0</v>
      </c>
      <c r="Q19" s="8">
        <v>0</v>
      </c>
    </row>
    <row r="20" spans="1:17" x14ac:dyDescent="0.25">
      <c r="A20" s="2" t="s">
        <v>872</v>
      </c>
      <c r="B20" s="6" t="s">
        <v>498</v>
      </c>
      <c r="C20" s="6" t="s">
        <v>499</v>
      </c>
      <c r="D20" s="3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8">
        <v>6</v>
      </c>
      <c r="O20" s="8">
        <v>5</v>
      </c>
      <c r="P20" s="8">
        <v>3</v>
      </c>
      <c r="Q20" s="8">
        <v>0</v>
      </c>
    </row>
    <row r="21" spans="1:17" x14ac:dyDescent="0.25">
      <c r="A21" s="2" t="s">
        <v>873</v>
      </c>
      <c r="B21" s="6" t="s">
        <v>500</v>
      </c>
      <c r="C21" s="6" t="s">
        <v>501</v>
      </c>
      <c r="D21" s="3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8">
        <v>4</v>
      </c>
      <c r="O21" s="8">
        <v>1</v>
      </c>
      <c r="P21" s="8">
        <v>1</v>
      </c>
      <c r="Q21" s="8">
        <v>0</v>
      </c>
    </row>
    <row r="22" spans="1:17" x14ac:dyDescent="0.25">
      <c r="A22" s="2" t="s">
        <v>874</v>
      </c>
      <c r="B22" s="6" t="s">
        <v>502</v>
      </c>
      <c r="C22" s="6" t="s">
        <v>503</v>
      </c>
      <c r="D22" s="3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8">
        <v>2</v>
      </c>
      <c r="O22" s="8">
        <v>0</v>
      </c>
      <c r="P22" s="8">
        <v>0</v>
      </c>
      <c r="Q22" s="8">
        <v>0</v>
      </c>
    </row>
    <row r="23" spans="1:17" x14ac:dyDescent="0.25">
      <c r="A23" s="2" t="s">
        <v>875</v>
      </c>
      <c r="B23" s="6" t="s">
        <v>504</v>
      </c>
      <c r="C23" s="6" t="s">
        <v>505</v>
      </c>
      <c r="D23" s="3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8">
        <v>3</v>
      </c>
      <c r="O23" s="8">
        <v>1</v>
      </c>
      <c r="P23" s="8">
        <v>0</v>
      </c>
      <c r="Q23" s="8">
        <v>0</v>
      </c>
    </row>
    <row r="24" spans="1:17" x14ac:dyDescent="0.25">
      <c r="A24" s="2" t="s">
        <v>876</v>
      </c>
      <c r="B24" s="6" t="s">
        <v>506</v>
      </c>
      <c r="C24" s="6" t="s">
        <v>507</v>
      </c>
      <c r="D24" s="3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8">
        <v>1</v>
      </c>
      <c r="O24" s="8">
        <v>7</v>
      </c>
      <c r="P24" s="8">
        <v>1</v>
      </c>
      <c r="Q24" s="8">
        <v>0</v>
      </c>
    </row>
    <row r="25" spans="1:17" x14ac:dyDescent="0.25">
      <c r="A25" s="2" t="s">
        <v>877</v>
      </c>
      <c r="B25" s="6" t="s">
        <v>508</v>
      </c>
      <c r="C25" s="6" t="s">
        <v>509</v>
      </c>
      <c r="D25" s="3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8">
        <v>1</v>
      </c>
      <c r="O25" s="8">
        <v>2</v>
      </c>
      <c r="P25" s="8">
        <v>0</v>
      </c>
      <c r="Q25" s="8">
        <v>1</v>
      </c>
    </row>
    <row r="26" spans="1:17" x14ac:dyDescent="0.25">
      <c r="A26" s="2" t="s">
        <v>878</v>
      </c>
      <c r="B26" s="6" t="s">
        <v>510</v>
      </c>
      <c r="C26" s="6" t="s">
        <v>511</v>
      </c>
      <c r="D26" s="3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8">
        <v>1</v>
      </c>
      <c r="O26" s="8">
        <v>4</v>
      </c>
      <c r="P26" s="8">
        <v>1</v>
      </c>
      <c r="Q26" s="8">
        <v>1</v>
      </c>
    </row>
    <row r="27" spans="1:17" x14ac:dyDescent="0.25">
      <c r="A27" s="2" t="s">
        <v>879</v>
      </c>
      <c r="B27" s="6" t="s">
        <v>512</v>
      </c>
      <c r="C27" s="6" t="s">
        <v>513</v>
      </c>
      <c r="D27" s="3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8">
        <v>1</v>
      </c>
      <c r="O27" s="8">
        <v>3</v>
      </c>
      <c r="P27" s="8">
        <v>0</v>
      </c>
      <c r="Q27" s="8">
        <v>0</v>
      </c>
    </row>
    <row r="28" spans="1:17" x14ac:dyDescent="0.25">
      <c r="A28" s="2" t="s">
        <v>880</v>
      </c>
      <c r="B28" s="6" t="s">
        <v>491</v>
      </c>
      <c r="C28" s="6" t="s">
        <v>514</v>
      </c>
      <c r="D28" s="3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8">
        <v>1</v>
      </c>
      <c r="O28" s="8">
        <v>0</v>
      </c>
      <c r="P28" s="8">
        <v>5</v>
      </c>
      <c r="Q28" s="8">
        <v>0</v>
      </c>
    </row>
    <row r="29" spans="1:17" x14ac:dyDescent="0.25">
      <c r="A29" s="2" t="s">
        <v>881</v>
      </c>
      <c r="B29" s="6" t="s">
        <v>515</v>
      </c>
      <c r="C29" s="6" t="s">
        <v>516</v>
      </c>
      <c r="D29" s="3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8">
        <v>0</v>
      </c>
      <c r="O29" s="8">
        <v>11</v>
      </c>
      <c r="P29" s="8">
        <v>1</v>
      </c>
      <c r="Q29" s="8">
        <v>1</v>
      </c>
    </row>
    <row r="30" spans="1:17" x14ac:dyDescent="0.25">
      <c r="A30" s="2" t="s">
        <v>882</v>
      </c>
      <c r="B30" s="6" t="s">
        <v>517</v>
      </c>
      <c r="C30" s="6" t="s">
        <v>518</v>
      </c>
      <c r="D30" s="3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8">
        <v>1</v>
      </c>
      <c r="O30" s="8">
        <v>11</v>
      </c>
      <c r="P30" s="8">
        <v>2</v>
      </c>
      <c r="Q30" s="8">
        <v>0</v>
      </c>
    </row>
    <row r="31" spans="1:17" x14ac:dyDescent="0.25">
      <c r="A31" s="2" t="s">
        <v>883</v>
      </c>
      <c r="B31" s="6" t="s">
        <v>519</v>
      </c>
      <c r="C31" s="6" t="s">
        <v>520</v>
      </c>
      <c r="D31" s="3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8">
        <v>5</v>
      </c>
      <c r="O31" s="8">
        <v>5</v>
      </c>
      <c r="P31" s="8">
        <v>3</v>
      </c>
      <c r="Q31" s="8">
        <v>1</v>
      </c>
    </row>
    <row r="32" spans="1:17" x14ac:dyDescent="0.25">
      <c r="A32" s="2" t="s">
        <v>884</v>
      </c>
      <c r="B32" s="6" t="s">
        <v>521</v>
      </c>
      <c r="C32" s="6" t="s">
        <v>522</v>
      </c>
      <c r="D32" s="3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8">
        <v>0</v>
      </c>
      <c r="O32" s="8">
        <v>9</v>
      </c>
      <c r="P32" s="8">
        <v>1</v>
      </c>
      <c r="Q32" s="8">
        <v>1</v>
      </c>
    </row>
    <row r="33" spans="1:17" x14ac:dyDescent="0.25">
      <c r="A33" s="2" t="s">
        <v>885</v>
      </c>
      <c r="B33" s="6" t="s">
        <v>523</v>
      </c>
      <c r="C33" s="6" t="s">
        <v>524</v>
      </c>
      <c r="D33" s="3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8">
        <v>1</v>
      </c>
      <c r="O33" s="8">
        <v>15</v>
      </c>
      <c r="P33" s="8">
        <v>1</v>
      </c>
      <c r="Q33" s="8">
        <v>0</v>
      </c>
    </row>
    <row r="34" spans="1:17" x14ac:dyDescent="0.25">
      <c r="A34" s="2" t="s">
        <v>886</v>
      </c>
      <c r="B34" s="6" t="s">
        <v>525</v>
      </c>
      <c r="C34" s="6" t="s">
        <v>526</v>
      </c>
      <c r="D34" s="3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8">
        <v>2</v>
      </c>
      <c r="O34" s="8">
        <v>1</v>
      </c>
      <c r="P34" s="8">
        <v>0</v>
      </c>
      <c r="Q34" s="8">
        <v>0</v>
      </c>
    </row>
    <row r="35" spans="1:17" x14ac:dyDescent="0.25">
      <c r="A35" s="2" t="s">
        <v>887</v>
      </c>
      <c r="B35" s="6" t="s">
        <v>527</v>
      </c>
      <c r="C35" s="6" t="s">
        <v>528</v>
      </c>
      <c r="D35" s="3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8">
        <v>2</v>
      </c>
      <c r="O35" s="8">
        <v>2</v>
      </c>
      <c r="P35" s="8">
        <v>0</v>
      </c>
      <c r="Q35" s="8">
        <v>0</v>
      </c>
    </row>
    <row r="36" spans="1:17" x14ac:dyDescent="0.25">
      <c r="A36" s="2" t="s">
        <v>888</v>
      </c>
      <c r="B36" s="6" t="s">
        <v>529</v>
      </c>
      <c r="C36" s="6" t="s">
        <v>530</v>
      </c>
      <c r="D36" s="3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8">
        <v>2</v>
      </c>
      <c r="O36" s="8">
        <v>1</v>
      </c>
      <c r="P36" s="8">
        <v>0</v>
      </c>
      <c r="Q36" s="8">
        <v>0</v>
      </c>
    </row>
    <row r="37" spans="1:17" x14ac:dyDescent="0.25">
      <c r="A37" s="2" t="s">
        <v>889</v>
      </c>
      <c r="B37" s="6" t="s">
        <v>531</v>
      </c>
      <c r="C37" s="6" t="s">
        <v>532</v>
      </c>
      <c r="D37" s="3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8">
        <v>1</v>
      </c>
      <c r="O37" s="8">
        <v>1</v>
      </c>
      <c r="P37" s="8">
        <v>0</v>
      </c>
      <c r="Q37" s="8">
        <v>0</v>
      </c>
    </row>
    <row r="38" spans="1:17" x14ac:dyDescent="0.25">
      <c r="A38" s="2" t="s">
        <v>890</v>
      </c>
      <c r="B38" s="6" t="s">
        <v>533</v>
      </c>
      <c r="C38" s="6" t="s">
        <v>534</v>
      </c>
      <c r="D38" s="3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8">
        <v>2</v>
      </c>
      <c r="O38" s="8">
        <v>3</v>
      </c>
      <c r="P38" s="8">
        <v>0</v>
      </c>
      <c r="Q38" s="8">
        <v>0</v>
      </c>
    </row>
    <row r="39" spans="1:17" x14ac:dyDescent="0.25">
      <c r="A39" s="2" t="s">
        <v>891</v>
      </c>
      <c r="B39" s="6" t="s">
        <v>535</v>
      </c>
      <c r="C39" s="6" t="s">
        <v>536</v>
      </c>
      <c r="D39" s="3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8">
        <v>1</v>
      </c>
      <c r="O39" s="8">
        <v>11</v>
      </c>
      <c r="P39" s="8">
        <v>1</v>
      </c>
      <c r="Q39" s="8">
        <v>0</v>
      </c>
    </row>
    <row r="40" spans="1:17" x14ac:dyDescent="0.25">
      <c r="A40" s="2" t="s">
        <v>892</v>
      </c>
      <c r="B40" s="6" t="s">
        <v>537</v>
      </c>
      <c r="C40" s="6" t="s">
        <v>538</v>
      </c>
      <c r="D40" s="3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8">
        <v>1</v>
      </c>
      <c r="O40" s="8">
        <v>4</v>
      </c>
      <c r="P40" s="8">
        <v>0</v>
      </c>
      <c r="Q40" s="8">
        <v>0</v>
      </c>
    </row>
    <row r="41" spans="1:17" x14ac:dyDescent="0.25">
      <c r="A41" s="2" t="s">
        <v>893</v>
      </c>
      <c r="B41" s="6" t="s">
        <v>539</v>
      </c>
      <c r="C41" s="6" t="s">
        <v>540</v>
      </c>
      <c r="D41" s="3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8">
        <v>1</v>
      </c>
      <c r="O41" s="8">
        <v>3</v>
      </c>
      <c r="P41" s="8">
        <v>0</v>
      </c>
      <c r="Q41" s="8">
        <v>1</v>
      </c>
    </row>
    <row r="42" spans="1:17" x14ac:dyDescent="0.25">
      <c r="A42" s="2" t="s">
        <v>894</v>
      </c>
      <c r="B42" s="6" t="s">
        <v>541</v>
      </c>
      <c r="C42" s="6" t="s">
        <v>542</v>
      </c>
      <c r="D42" s="3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8">
        <v>3</v>
      </c>
      <c r="O42" s="8">
        <v>1</v>
      </c>
      <c r="P42" s="8">
        <v>0</v>
      </c>
      <c r="Q42" s="8">
        <v>0</v>
      </c>
    </row>
    <row r="43" spans="1:17" x14ac:dyDescent="0.25">
      <c r="A43" s="2" t="s">
        <v>895</v>
      </c>
      <c r="B43" s="6" t="s">
        <v>543</v>
      </c>
      <c r="C43" s="6" t="s">
        <v>544</v>
      </c>
      <c r="D43" s="3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8">
        <v>1</v>
      </c>
      <c r="O43" s="8">
        <v>1</v>
      </c>
      <c r="P43" s="8">
        <v>1</v>
      </c>
      <c r="Q43" s="8">
        <v>2</v>
      </c>
    </row>
    <row r="44" spans="1:17" x14ac:dyDescent="0.25">
      <c r="A44" s="2" t="s">
        <v>896</v>
      </c>
      <c r="B44" s="6" t="s">
        <v>545</v>
      </c>
      <c r="C44" s="6" t="s">
        <v>546</v>
      </c>
      <c r="D44" s="3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8">
        <v>1</v>
      </c>
      <c r="O44" s="8">
        <v>0</v>
      </c>
      <c r="P44" s="8">
        <v>0</v>
      </c>
      <c r="Q44" s="8">
        <v>0</v>
      </c>
    </row>
    <row r="45" spans="1:17" x14ac:dyDescent="0.25">
      <c r="A45" s="2" t="s">
        <v>897</v>
      </c>
      <c r="B45" s="6" t="s">
        <v>547</v>
      </c>
      <c r="C45" s="6" t="s">
        <v>548</v>
      </c>
      <c r="D45" s="3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8">
        <v>7</v>
      </c>
      <c r="O45" s="8">
        <v>6</v>
      </c>
      <c r="P45" s="8">
        <v>0</v>
      </c>
      <c r="Q45" s="8">
        <v>0</v>
      </c>
    </row>
    <row r="46" spans="1:17" x14ac:dyDescent="0.25">
      <c r="A46" s="2" t="s">
        <v>898</v>
      </c>
      <c r="B46" s="6" t="s">
        <v>549</v>
      </c>
      <c r="C46" s="6" t="s">
        <v>550</v>
      </c>
      <c r="D46" s="3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8">
        <v>3</v>
      </c>
      <c r="O46" s="8">
        <v>2</v>
      </c>
      <c r="P46" s="8">
        <v>1</v>
      </c>
      <c r="Q46" s="8">
        <v>2</v>
      </c>
    </row>
    <row r="47" spans="1:17" x14ac:dyDescent="0.25">
      <c r="A47" s="2" t="s">
        <v>899</v>
      </c>
      <c r="B47" s="6" t="s">
        <v>551</v>
      </c>
      <c r="C47" s="6" t="s">
        <v>552</v>
      </c>
      <c r="D47" s="3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8">
        <v>3</v>
      </c>
      <c r="O47" s="8">
        <v>0</v>
      </c>
      <c r="P47" s="8">
        <v>1</v>
      </c>
      <c r="Q47" s="8">
        <v>0</v>
      </c>
    </row>
    <row r="48" spans="1:17" x14ac:dyDescent="0.25">
      <c r="A48" s="2" t="s">
        <v>900</v>
      </c>
      <c r="B48" s="6" t="s">
        <v>553</v>
      </c>
      <c r="C48" s="6" t="s">
        <v>554</v>
      </c>
      <c r="D48" s="3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8">
        <v>5</v>
      </c>
      <c r="O48" s="8">
        <v>8</v>
      </c>
      <c r="P48" s="8">
        <v>2</v>
      </c>
      <c r="Q48" s="8">
        <v>0</v>
      </c>
    </row>
    <row r="49" spans="1:17" x14ac:dyDescent="0.25">
      <c r="A49" s="2" t="s">
        <v>901</v>
      </c>
      <c r="B49" s="6" t="s">
        <v>555</v>
      </c>
      <c r="C49" s="6" t="s">
        <v>556</v>
      </c>
      <c r="D49" s="3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8">
        <v>3</v>
      </c>
      <c r="O49" s="8">
        <v>0</v>
      </c>
      <c r="P49" s="8">
        <v>0</v>
      </c>
      <c r="Q49" s="8">
        <v>0</v>
      </c>
    </row>
    <row r="50" spans="1:17" x14ac:dyDescent="0.25">
      <c r="A50" s="2" t="s">
        <v>902</v>
      </c>
      <c r="B50" s="6" t="s">
        <v>557</v>
      </c>
      <c r="C50" s="6" t="s">
        <v>558</v>
      </c>
      <c r="D50" s="3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8">
        <v>0</v>
      </c>
      <c r="O50" s="8">
        <v>3</v>
      </c>
      <c r="P50" s="8">
        <v>0</v>
      </c>
      <c r="Q50" s="8">
        <v>2</v>
      </c>
    </row>
    <row r="51" spans="1:17" x14ac:dyDescent="0.25">
      <c r="A51" s="2" t="s">
        <v>903</v>
      </c>
      <c r="B51" s="6" t="s">
        <v>559</v>
      </c>
      <c r="C51" s="6" t="s">
        <v>560</v>
      </c>
      <c r="D51" s="3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8">
        <v>2</v>
      </c>
      <c r="O51" s="8">
        <v>2</v>
      </c>
      <c r="P51" s="8">
        <v>3</v>
      </c>
      <c r="Q51" s="8">
        <v>0</v>
      </c>
    </row>
    <row r="52" spans="1:17" x14ac:dyDescent="0.25">
      <c r="A52" s="2" t="s">
        <v>904</v>
      </c>
      <c r="B52" s="6" t="s">
        <v>561</v>
      </c>
      <c r="C52" s="6" t="s">
        <v>562</v>
      </c>
      <c r="D52" s="3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8">
        <v>1</v>
      </c>
      <c r="O52" s="8">
        <v>6</v>
      </c>
      <c r="P52" s="8">
        <v>0</v>
      </c>
      <c r="Q52" s="8">
        <v>0</v>
      </c>
    </row>
    <row r="53" spans="1:17" x14ac:dyDescent="0.25">
      <c r="A53" s="2" t="s">
        <v>905</v>
      </c>
      <c r="B53" s="6" t="s">
        <v>563</v>
      </c>
      <c r="C53" s="6" t="s">
        <v>564</v>
      </c>
      <c r="D53" s="3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8">
        <v>2</v>
      </c>
      <c r="O53" s="8">
        <v>1</v>
      </c>
      <c r="P53" s="8">
        <v>0</v>
      </c>
      <c r="Q53" s="8">
        <v>0</v>
      </c>
    </row>
    <row r="54" spans="1:17" x14ac:dyDescent="0.25">
      <c r="A54" s="2" t="s">
        <v>906</v>
      </c>
      <c r="B54" s="6" t="s">
        <v>565</v>
      </c>
      <c r="C54" s="6" t="s">
        <v>566</v>
      </c>
      <c r="D54" s="3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8">
        <v>1</v>
      </c>
      <c r="O54" s="8">
        <v>3</v>
      </c>
      <c r="P54" s="8">
        <v>1</v>
      </c>
      <c r="Q54" s="8">
        <v>1</v>
      </c>
    </row>
    <row r="55" spans="1:17" x14ac:dyDescent="0.25">
      <c r="A55" s="2" t="s">
        <v>907</v>
      </c>
      <c r="B55" s="6" t="s">
        <v>567</v>
      </c>
      <c r="C55" s="6" t="s">
        <v>568</v>
      </c>
      <c r="D55" s="3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8">
        <v>1</v>
      </c>
      <c r="O55" s="8">
        <v>9</v>
      </c>
      <c r="P55" s="8">
        <v>0</v>
      </c>
      <c r="Q55" s="8">
        <v>0</v>
      </c>
    </row>
    <row r="56" spans="1:17" x14ac:dyDescent="0.25">
      <c r="A56" s="2" t="s">
        <v>908</v>
      </c>
      <c r="B56" s="6" t="s">
        <v>569</v>
      </c>
      <c r="C56" s="6" t="s">
        <v>570</v>
      </c>
      <c r="D56" s="3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8">
        <v>0</v>
      </c>
      <c r="O56" s="8">
        <v>7</v>
      </c>
      <c r="P56" s="8">
        <v>0</v>
      </c>
      <c r="Q56" s="8">
        <v>0</v>
      </c>
    </row>
    <row r="57" spans="1:17" x14ac:dyDescent="0.25">
      <c r="A57" s="2" t="s">
        <v>909</v>
      </c>
      <c r="B57" s="6" t="s">
        <v>571</v>
      </c>
      <c r="C57" s="6" t="s">
        <v>572</v>
      </c>
      <c r="D57" s="3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8">
        <v>0</v>
      </c>
      <c r="O57" s="8">
        <v>1</v>
      </c>
      <c r="P57" s="8">
        <v>0</v>
      </c>
      <c r="Q57" s="8">
        <v>7</v>
      </c>
    </row>
    <row r="58" spans="1:17" x14ac:dyDescent="0.25">
      <c r="A58" s="2" t="s">
        <v>910</v>
      </c>
      <c r="B58" s="6" t="s">
        <v>573</v>
      </c>
      <c r="C58" s="6" t="s">
        <v>574</v>
      </c>
      <c r="D58" s="3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8">
        <v>0</v>
      </c>
      <c r="O58" s="8">
        <v>1</v>
      </c>
      <c r="P58" s="8">
        <v>0</v>
      </c>
      <c r="Q58" s="8">
        <v>0</v>
      </c>
    </row>
    <row r="59" spans="1:17" x14ac:dyDescent="0.25">
      <c r="A59" s="2" t="s">
        <v>911</v>
      </c>
      <c r="B59" s="6" t="s">
        <v>508</v>
      </c>
      <c r="C59" s="6" t="s">
        <v>575</v>
      </c>
      <c r="D59" s="3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8">
        <v>0</v>
      </c>
      <c r="O59" s="8">
        <v>3</v>
      </c>
      <c r="P59" s="8">
        <v>0</v>
      </c>
      <c r="Q59" s="8">
        <v>1</v>
      </c>
    </row>
    <row r="60" spans="1:17" x14ac:dyDescent="0.25">
      <c r="A60" s="2" t="s">
        <v>912</v>
      </c>
      <c r="B60" s="6" t="s">
        <v>576</v>
      </c>
      <c r="C60" s="6" t="s">
        <v>577</v>
      </c>
      <c r="D60" s="3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8">
        <v>2</v>
      </c>
      <c r="O60" s="8">
        <v>1</v>
      </c>
      <c r="P60" s="8">
        <v>4</v>
      </c>
      <c r="Q60" s="8">
        <v>0</v>
      </c>
    </row>
    <row r="61" spans="1:17" x14ac:dyDescent="0.25">
      <c r="A61" s="2" t="s">
        <v>913</v>
      </c>
      <c r="B61" s="6" t="s">
        <v>578</v>
      </c>
      <c r="C61" s="6" t="s">
        <v>579</v>
      </c>
      <c r="D61" s="3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8">
        <v>1</v>
      </c>
      <c r="O61" s="8">
        <v>1</v>
      </c>
      <c r="P61" s="8">
        <v>0</v>
      </c>
      <c r="Q61" s="8">
        <v>0</v>
      </c>
    </row>
    <row r="62" spans="1:17" x14ac:dyDescent="0.25">
      <c r="A62" s="2" t="s">
        <v>914</v>
      </c>
      <c r="B62" s="6" t="s">
        <v>580</v>
      </c>
      <c r="C62" s="6" t="s">
        <v>581</v>
      </c>
      <c r="D62" s="3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8">
        <v>1</v>
      </c>
      <c r="O62" s="8">
        <v>3</v>
      </c>
      <c r="P62" s="8">
        <v>0</v>
      </c>
      <c r="Q62" s="8">
        <v>0</v>
      </c>
    </row>
    <row r="63" spans="1:17" x14ac:dyDescent="0.25">
      <c r="A63" s="2" t="s">
        <v>915</v>
      </c>
      <c r="B63" s="6" t="s">
        <v>582</v>
      </c>
      <c r="C63" s="6" t="s">
        <v>583</v>
      </c>
      <c r="D63" s="3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8">
        <v>2</v>
      </c>
      <c r="O63" s="8">
        <v>1</v>
      </c>
      <c r="P63" s="8">
        <v>0</v>
      </c>
      <c r="Q63" s="8">
        <v>0</v>
      </c>
    </row>
    <row r="64" spans="1:17" x14ac:dyDescent="0.25">
      <c r="A64" s="2" t="s">
        <v>916</v>
      </c>
      <c r="B64" s="6" t="s">
        <v>584</v>
      </c>
      <c r="C64" s="6" t="s">
        <v>585</v>
      </c>
      <c r="D64" s="3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8">
        <v>0</v>
      </c>
      <c r="O64" s="8">
        <v>6</v>
      </c>
      <c r="P64" s="8">
        <v>1</v>
      </c>
      <c r="Q64" s="8">
        <v>0</v>
      </c>
    </row>
    <row r="65" spans="1:17" x14ac:dyDescent="0.25">
      <c r="A65" s="2" t="s">
        <v>917</v>
      </c>
      <c r="B65" s="6" t="s">
        <v>586</v>
      </c>
      <c r="C65" s="6" t="s">
        <v>587</v>
      </c>
      <c r="D65" s="3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8">
        <v>1</v>
      </c>
      <c r="O65" s="8">
        <v>1</v>
      </c>
      <c r="P65" s="8">
        <v>4</v>
      </c>
      <c r="Q65" s="8">
        <v>1</v>
      </c>
    </row>
    <row r="66" spans="1:17" x14ac:dyDescent="0.25">
      <c r="A66" s="2" t="s">
        <v>918</v>
      </c>
      <c r="B66" s="6" t="s">
        <v>588</v>
      </c>
      <c r="C66" s="6" t="s">
        <v>589</v>
      </c>
      <c r="D66" s="3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8">
        <v>3</v>
      </c>
      <c r="O66" s="8">
        <v>0</v>
      </c>
      <c r="P66" s="8">
        <v>0</v>
      </c>
      <c r="Q66" s="8">
        <v>0</v>
      </c>
    </row>
    <row r="67" spans="1:17" x14ac:dyDescent="0.25">
      <c r="A67" s="2" t="s">
        <v>919</v>
      </c>
      <c r="B67" s="6" t="s">
        <v>590</v>
      </c>
      <c r="C67" s="6" t="s">
        <v>591</v>
      </c>
      <c r="D67" s="3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8">
        <v>3</v>
      </c>
      <c r="O67" s="8">
        <v>4</v>
      </c>
      <c r="P67" s="8">
        <v>0</v>
      </c>
      <c r="Q67" s="8">
        <v>0</v>
      </c>
    </row>
    <row r="68" spans="1:17" x14ac:dyDescent="0.25">
      <c r="A68" s="2" t="s">
        <v>920</v>
      </c>
      <c r="B68" s="6" t="s">
        <v>592</v>
      </c>
      <c r="C68" s="6" t="s">
        <v>593</v>
      </c>
      <c r="D68" s="3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8">
        <v>3</v>
      </c>
      <c r="O68" s="8">
        <v>0</v>
      </c>
      <c r="P68" s="8">
        <v>5</v>
      </c>
      <c r="Q68" s="8">
        <v>1</v>
      </c>
    </row>
    <row r="69" spans="1:17" x14ac:dyDescent="0.25">
      <c r="A69" s="2" t="s">
        <v>921</v>
      </c>
      <c r="B69" s="6" t="s">
        <v>594</v>
      </c>
      <c r="C69" s="6" t="s">
        <v>595</v>
      </c>
      <c r="D69" s="3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8">
        <v>6</v>
      </c>
      <c r="O69" s="8">
        <v>8</v>
      </c>
      <c r="P69" s="8">
        <v>6</v>
      </c>
      <c r="Q69" s="8">
        <v>0</v>
      </c>
    </row>
    <row r="70" spans="1:17" x14ac:dyDescent="0.25">
      <c r="A70" s="2" t="s">
        <v>922</v>
      </c>
      <c r="B70" s="6" t="s">
        <v>596</v>
      </c>
      <c r="C70" s="6" t="s">
        <v>597</v>
      </c>
      <c r="D70" s="3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8">
        <v>1</v>
      </c>
      <c r="O70" s="8">
        <v>2</v>
      </c>
      <c r="P70" s="8">
        <v>2</v>
      </c>
      <c r="Q70" s="8">
        <v>1</v>
      </c>
    </row>
    <row r="71" spans="1:17" x14ac:dyDescent="0.25">
      <c r="A71" s="2" t="s">
        <v>923</v>
      </c>
      <c r="B71" s="6" t="s">
        <v>598</v>
      </c>
      <c r="C71" s="6" t="s">
        <v>599</v>
      </c>
      <c r="D71" s="3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8">
        <v>3</v>
      </c>
      <c r="O71" s="8">
        <v>1</v>
      </c>
      <c r="P71" s="8">
        <v>2</v>
      </c>
      <c r="Q71" s="8">
        <v>2</v>
      </c>
    </row>
    <row r="72" spans="1:17" x14ac:dyDescent="0.25">
      <c r="A72" s="2" t="s">
        <v>924</v>
      </c>
      <c r="B72" s="6" t="s">
        <v>600</v>
      </c>
      <c r="C72" s="6" t="s">
        <v>601</v>
      </c>
      <c r="D72" s="3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8">
        <v>1</v>
      </c>
      <c r="O72" s="8">
        <v>0</v>
      </c>
      <c r="P72" s="8">
        <v>1</v>
      </c>
      <c r="Q72" s="8">
        <v>0</v>
      </c>
    </row>
    <row r="73" spans="1:17" x14ac:dyDescent="0.25">
      <c r="A73" s="2" t="s">
        <v>925</v>
      </c>
      <c r="B73" s="6" t="s">
        <v>602</v>
      </c>
      <c r="C73" s="6" t="s">
        <v>603</v>
      </c>
      <c r="D73" s="3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8">
        <v>1</v>
      </c>
      <c r="O73" s="8">
        <v>8</v>
      </c>
      <c r="P73" s="8">
        <v>4</v>
      </c>
      <c r="Q73" s="8">
        <v>0</v>
      </c>
    </row>
    <row r="74" spans="1:17" x14ac:dyDescent="0.25">
      <c r="A74" s="2" t="s">
        <v>926</v>
      </c>
      <c r="B74" s="6" t="s">
        <v>604</v>
      </c>
      <c r="C74" s="6" t="s">
        <v>605</v>
      </c>
      <c r="D74" s="3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8">
        <v>0</v>
      </c>
      <c r="O74" s="8">
        <v>1</v>
      </c>
      <c r="P74" s="8">
        <v>0</v>
      </c>
      <c r="Q74" s="8">
        <v>0</v>
      </c>
    </row>
    <row r="75" spans="1:17" x14ac:dyDescent="0.25">
      <c r="A75" s="2" t="s">
        <v>927</v>
      </c>
      <c r="B75" s="6" t="s">
        <v>606</v>
      </c>
      <c r="C75" s="6" t="s">
        <v>607</v>
      </c>
      <c r="D75" s="3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8">
        <v>0</v>
      </c>
      <c r="O75" s="8">
        <v>3</v>
      </c>
      <c r="P75" s="8">
        <v>0</v>
      </c>
      <c r="Q75" s="8">
        <v>1</v>
      </c>
    </row>
    <row r="76" spans="1:17" x14ac:dyDescent="0.25">
      <c r="A76" s="2" t="s">
        <v>928</v>
      </c>
      <c r="B76" s="6" t="s">
        <v>608</v>
      </c>
      <c r="C76" s="6" t="s">
        <v>609</v>
      </c>
      <c r="D76" s="3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8">
        <v>2</v>
      </c>
      <c r="O76" s="8">
        <v>1</v>
      </c>
      <c r="P76" s="8">
        <v>1</v>
      </c>
      <c r="Q76" s="8">
        <v>0</v>
      </c>
    </row>
    <row r="77" spans="1:17" x14ac:dyDescent="0.25">
      <c r="A77" s="2" t="s">
        <v>929</v>
      </c>
      <c r="B77" s="6" t="s">
        <v>610</v>
      </c>
      <c r="C77" s="6" t="s">
        <v>611</v>
      </c>
      <c r="D77" s="3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8">
        <v>3</v>
      </c>
      <c r="O77" s="8">
        <v>12</v>
      </c>
      <c r="P77" s="8">
        <v>2</v>
      </c>
      <c r="Q77" s="8">
        <v>0</v>
      </c>
    </row>
    <row r="78" spans="1:17" x14ac:dyDescent="0.25">
      <c r="A78" s="2" t="s">
        <v>930</v>
      </c>
      <c r="B78" s="6" t="s">
        <v>612</v>
      </c>
      <c r="C78" s="6" t="s">
        <v>613</v>
      </c>
      <c r="D78" s="3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8">
        <v>0</v>
      </c>
      <c r="O78" s="8">
        <v>3</v>
      </c>
      <c r="P78" s="8">
        <v>0</v>
      </c>
      <c r="Q78" s="8">
        <v>0</v>
      </c>
    </row>
    <row r="79" spans="1:17" x14ac:dyDescent="0.25">
      <c r="A79" s="2" t="s">
        <v>931</v>
      </c>
      <c r="B79" s="6" t="s">
        <v>614</v>
      </c>
      <c r="C79" s="6" t="s">
        <v>615</v>
      </c>
      <c r="D79" s="3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8">
        <v>1</v>
      </c>
      <c r="O79" s="8">
        <v>1</v>
      </c>
      <c r="P79" s="8">
        <v>0</v>
      </c>
      <c r="Q79" s="8">
        <v>1</v>
      </c>
    </row>
    <row r="80" spans="1:17" x14ac:dyDescent="0.25">
      <c r="A80" s="2" t="s">
        <v>932</v>
      </c>
      <c r="B80" s="6" t="s">
        <v>616</v>
      </c>
      <c r="C80" s="6" t="s">
        <v>617</v>
      </c>
      <c r="D80" s="3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8">
        <v>1</v>
      </c>
      <c r="O80" s="8">
        <v>12</v>
      </c>
      <c r="P80" s="8">
        <v>0</v>
      </c>
      <c r="Q80" s="8">
        <v>0</v>
      </c>
    </row>
    <row r="81" spans="1:17" x14ac:dyDescent="0.25">
      <c r="A81" s="2" t="s">
        <v>933</v>
      </c>
      <c r="B81" s="6" t="s">
        <v>618</v>
      </c>
      <c r="C81" s="6" t="s">
        <v>619</v>
      </c>
      <c r="D81" s="3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8">
        <v>2</v>
      </c>
      <c r="O81" s="8">
        <v>5</v>
      </c>
      <c r="P81" s="8">
        <v>0</v>
      </c>
      <c r="Q81" s="8">
        <v>1</v>
      </c>
    </row>
    <row r="82" spans="1:17" x14ac:dyDescent="0.25">
      <c r="A82" s="2" t="s">
        <v>934</v>
      </c>
      <c r="B82" s="6" t="s">
        <v>620</v>
      </c>
      <c r="C82" s="6" t="s">
        <v>621</v>
      </c>
      <c r="D82" s="3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8">
        <v>3</v>
      </c>
      <c r="O82" s="8">
        <v>5</v>
      </c>
      <c r="P82" s="8">
        <v>1</v>
      </c>
      <c r="Q82" s="8">
        <v>0</v>
      </c>
    </row>
    <row r="83" spans="1:17" x14ac:dyDescent="0.25">
      <c r="A83" s="2" t="s">
        <v>935</v>
      </c>
      <c r="B83" s="6" t="s">
        <v>622</v>
      </c>
      <c r="C83" s="6" t="s">
        <v>623</v>
      </c>
      <c r="D83" s="3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8">
        <v>0</v>
      </c>
      <c r="O83" s="8">
        <v>8</v>
      </c>
      <c r="P83" s="8">
        <v>1</v>
      </c>
      <c r="Q83" s="8">
        <v>0</v>
      </c>
    </row>
    <row r="84" spans="1:17" x14ac:dyDescent="0.25">
      <c r="A84" s="2" t="s">
        <v>936</v>
      </c>
      <c r="B84" s="6" t="s">
        <v>624</v>
      </c>
      <c r="C84" s="6" t="s">
        <v>625</v>
      </c>
      <c r="D84" s="3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8">
        <v>4</v>
      </c>
      <c r="O84" s="8">
        <v>6</v>
      </c>
      <c r="P84" s="8">
        <v>0</v>
      </c>
      <c r="Q84" s="8">
        <v>0</v>
      </c>
    </row>
    <row r="85" spans="1:17" x14ac:dyDescent="0.25">
      <c r="A85" s="2" t="s">
        <v>937</v>
      </c>
      <c r="B85" s="6" t="s">
        <v>626</v>
      </c>
      <c r="C85" s="6" t="s">
        <v>627</v>
      </c>
      <c r="D85" s="3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8">
        <v>1</v>
      </c>
      <c r="O85" s="8">
        <v>7</v>
      </c>
      <c r="P85" s="8">
        <v>0</v>
      </c>
      <c r="Q85" s="8">
        <v>0</v>
      </c>
    </row>
    <row r="86" spans="1:17" x14ac:dyDescent="0.25">
      <c r="A86" s="2" t="s">
        <v>938</v>
      </c>
      <c r="B86" s="6" t="s">
        <v>628</v>
      </c>
      <c r="C86" s="6" t="s">
        <v>629</v>
      </c>
      <c r="D86" s="3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8">
        <v>2</v>
      </c>
      <c r="O86" s="8">
        <v>1</v>
      </c>
      <c r="P86" s="8">
        <v>0</v>
      </c>
      <c r="Q86" s="8">
        <v>0</v>
      </c>
    </row>
    <row r="87" spans="1:17" x14ac:dyDescent="0.25">
      <c r="A87" s="2" t="s">
        <v>939</v>
      </c>
      <c r="B87" s="6" t="s">
        <v>630</v>
      </c>
      <c r="C87" s="6" t="s">
        <v>631</v>
      </c>
      <c r="D87" s="3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8">
        <v>2</v>
      </c>
      <c r="O87" s="8">
        <v>4</v>
      </c>
      <c r="P87" s="8">
        <v>1</v>
      </c>
      <c r="Q87" s="8">
        <v>0</v>
      </c>
    </row>
    <row r="88" spans="1:17" x14ac:dyDescent="0.25">
      <c r="A88" s="2" t="s">
        <v>940</v>
      </c>
      <c r="B88" s="6" t="s">
        <v>632</v>
      </c>
      <c r="C88" s="6" t="s">
        <v>633</v>
      </c>
      <c r="D88" s="3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8">
        <v>1</v>
      </c>
      <c r="O88" s="8">
        <v>1</v>
      </c>
      <c r="P88" s="8">
        <v>0</v>
      </c>
      <c r="Q88" s="8">
        <v>0</v>
      </c>
    </row>
    <row r="89" spans="1:17" x14ac:dyDescent="0.25">
      <c r="A89" s="2" t="s">
        <v>941</v>
      </c>
      <c r="B89" s="6" t="s">
        <v>634</v>
      </c>
      <c r="C89" s="6" t="s">
        <v>635</v>
      </c>
      <c r="D89" s="3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8">
        <v>1</v>
      </c>
      <c r="O89" s="8">
        <v>4</v>
      </c>
      <c r="P89" s="8">
        <v>0</v>
      </c>
      <c r="Q89" s="8">
        <v>0</v>
      </c>
    </row>
    <row r="90" spans="1:17" x14ac:dyDescent="0.25">
      <c r="A90" s="2" t="s">
        <v>942</v>
      </c>
      <c r="B90" s="6" t="s">
        <v>636</v>
      </c>
      <c r="C90" s="6" t="s">
        <v>637</v>
      </c>
      <c r="D90" s="3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8">
        <v>1</v>
      </c>
      <c r="O90" s="8">
        <v>0</v>
      </c>
      <c r="P90" s="8">
        <v>0</v>
      </c>
      <c r="Q90" s="8">
        <v>0</v>
      </c>
    </row>
    <row r="91" spans="1:17" x14ac:dyDescent="0.25">
      <c r="A91" s="2" t="s">
        <v>943</v>
      </c>
      <c r="B91" s="6" t="s">
        <v>638</v>
      </c>
      <c r="C91" s="6" t="s">
        <v>639</v>
      </c>
      <c r="D91" s="3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8">
        <v>1</v>
      </c>
      <c r="O91" s="8">
        <v>5</v>
      </c>
      <c r="P91" s="8">
        <v>1</v>
      </c>
      <c r="Q91" s="8">
        <v>0</v>
      </c>
    </row>
    <row r="92" spans="1:17" x14ac:dyDescent="0.25">
      <c r="A92" s="2" t="s">
        <v>944</v>
      </c>
      <c r="B92" s="6" t="s">
        <v>640</v>
      </c>
      <c r="C92" s="6" t="s">
        <v>641</v>
      </c>
      <c r="D92" s="3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8">
        <v>3</v>
      </c>
      <c r="O92" s="8">
        <v>8</v>
      </c>
      <c r="P92" s="8">
        <v>0</v>
      </c>
      <c r="Q92" s="8">
        <v>1</v>
      </c>
    </row>
    <row r="93" spans="1:17" x14ac:dyDescent="0.25">
      <c r="A93" s="2" t="s">
        <v>945</v>
      </c>
      <c r="B93" s="6" t="s">
        <v>642</v>
      </c>
      <c r="C93" s="6" t="s">
        <v>643</v>
      </c>
      <c r="D93" s="3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8">
        <v>1</v>
      </c>
      <c r="O93" s="8">
        <v>4</v>
      </c>
      <c r="P93" s="8">
        <v>0</v>
      </c>
      <c r="Q93" s="8">
        <v>0</v>
      </c>
    </row>
    <row r="94" spans="1:17" x14ac:dyDescent="0.25">
      <c r="A94" s="2" t="s">
        <v>946</v>
      </c>
      <c r="B94" s="6" t="s">
        <v>644</v>
      </c>
      <c r="C94" s="6" t="s">
        <v>645</v>
      </c>
      <c r="D94" s="3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8">
        <v>2</v>
      </c>
      <c r="O94" s="8">
        <v>3</v>
      </c>
      <c r="P94" s="8">
        <v>0</v>
      </c>
      <c r="Q94" s="8">
        <v>0</v>
      </c>
    </row>
    <row r="95" spans="1:17" x14ac:dyDescent="0.25">
      <c r="A95" s="2" t="s">
        <v>947</v>
      </c>
      <c r="B95" s="6" t="s">
        <v>646</v>
      </c>
      <c r="C95" s="6" t="s">
        <v>647</v>
      </c>
      <c r="D95" s="3">
        <v>52</v>
      </c>
      <c r="E95" s="6"/>
      <c r="F95" s="6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6" t="s">
        <v>647</v>
      </c>
      <c r="O95" s="6" t="s">
        <v>647</v>
      </c>
      <c r="P95" s="6" t="s">
        <v>647</v>
      </c>
      <c r="Q95" s="6" t="s">
        <v>647</v>
      </c>
    </row>
    <row r="96" spans="1:17" x14ac:dyDescent="0.25">
      <c r="A96" s="2" t="s">
        <v>948</v>
      </c>
      <c r="B96" s="6" t="s">
        <v>648</v>
      </c>
      <c r="C96" s="6" t="s">
        <v>649</v>
      </c>
      <c r="D96" s="3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8">
        <v>1</v>
      </c>
      <c r="O96" s="8">
        <v>0</v>
      </c>
      <c r="P96" s="8">
        <v>0</v>
      </c>
      <c r="Q96" s="8">
        <v>0</v>
      </c>
    </row>
    <row r="97" spans="1:17" x14ac:dyDescent="0.25">
      <c r="A97" s="2" t="s">
        <v>949</v>
      </c>
      <c r="B97" s="6" t="s">
        <v>650</v>
      </c>
      <c r="C97" s="6" t="s">
        <v>651</v>
      </c>
      <c r="D97" s="3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8">
        <v>4</v>
      </c>
      <c r="O97" s="8">
        <v>4</v>
      </c>
      <c r="P97" s="8">
        <v>0</v>
      </c>
      <c r="Q97" s="8">
        <v>0</v>
      </c>
    </row>
    <row r="98" spans="1:17" x14ac:dyDescent="0.25">
      <c r="A98" s="2" t="s">
        <v>950</v>
      </c>
      <c r="B98" s="6" t="s">
        <v>652</v>
      </c>
      <c r="C98" s="6" t="s">
        <v>653</v>
      </c>
      <c r="D98" s="3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8">
        <v>0</v>
      </c>
      <c r="O98" s="8">
        <v>0</v>
      </c>
      <c r="P98" s="8">
        <v>0</v>
      </c>
      <c r="Q98" s="8">
        <v>0</v>
      </c>
    </row>
    <row r="99" spans="1:17" x14ac:dyDescent="0.25">
      <c r="A99" s="2" t="s">
        <v>951</v>
      </c>
      <c r="B99" s="6" t="s">
        <v>654</v>
      </c>
      <c r="C99" s="6" t="s">
        <v>655</v>
      </c>
      <c r="D99" s="3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8">
        <v>0</v>
      </c>
      <c r="O99" s="8">
        <v>5</v>
      </c>
      <c r="P99" s="8">
        <v>1</v>
      </c>
      <c r="Q99" s="8">
        <v>1</v>
      </c>
    </row>
    <row r="100" spans="1:17" x14ac:dyDescent="0.25">
      <c r="A100" s="2" t="s">
        <v>952</v>
      </c>
      <c r="B100" s="6" t="s">
        <v>571</v>
      </c>
      <c r="C100" s="6" t="s">
        <v>656</v>
      </c>
      <c r="D100" s="3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8">
        <v>0</v>
      </c>
      <c r="O100" s="8">
        <v>6</v>
      </c>
      <c r="P100" s="8">
        <v>0</v>
      </c>
      <c r="Q100" s="8">
        <v>2</v>
      </c>
    </row>
    <row r="101" spans="1:17" x14ac:dyDescent="0.25">
      <c r="A101" s="2" t="s">
        <v>953</v>
      </c>
      <c r="B101" s="6" t="s">
        <v>657</v>
      </c>
      <c r="C101" s="6" t="s">
        <v>658</v>
      </c>
      <c r="D101" s="3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8">
        <v>3</v>
      </c>
      <c r="O101" s="8">
        <v>8</v>
      </c>
      <c r="P101" s="8">
        <v>0</v>
      </c>
      <c r="Q101" s="8">
        <v>2</v>
      </c>
    </row>
    <row r="102" spans="1:17" x14ac:dyDescent="0.25">
      <c r="A102" s="2" t="s">
        <v>954</v>
      </c>
      <c r="B102" s="6" t="s">
        <v>659</v>
      </c>
      <c r="C102" s="6" t="s">
        <v>660</v>
      </c>
      <c r="D102" s="3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8">
        <v>0</v>
      </c>
      <c r="O102" s="8">
        <v>6</v>
      </c>
      <c r="P102" s="8">
        <v>2</v>
      </c>
      <c r="Q102" s="8">
        <v>0</v>
      </c>
    </row>
    <row r="103" spans="1:17" x14ac:dyDescent="0.25">
      <c r="A103" s="2" t="s">
        <v>955</v>
      </c>
      <c r="B103" s="6" t="s">
        <v>661</v>
      </c>
      <c r="C103" s="6" t="s">
        <v>662</v>
      </c>
      <c r="D103" s="3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8">
        <v>2</v>
      </c>
      <c r="O103" s="8">
        <v>1</v>
      </c>
      <c r="P103" s="8">
        <v>0</v>
      </c>
      <c r="Q103" s="8">
        <v>0</v>
      </c>
    </row>
    <row r="104" spans="1:17" x14ac:dyDescent="0.25">
      <c r="A104" s="2" t="s">
        <v>956</v>
      </c>
      <c r="B104" s="6" t="s">
        <v>663</v>
      </c>
      <c r="C104" s="6" t="s">
        <v>664</v>
      </c>
      <c r="D104" s="3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8">
        <v>5</v>
      </c>
      <c r="O104" s="8">
        <v>0</v>
      </c>
      <c r="P104" s="8">
        <v>0</v>
      </c>
      <c r="Q104" s="8">
        <v>0</v>
      </c>
    </row>
    <row r="105" spans="1:17" x14ac:dyDescent="0.25">
      <c r="A105" s="2" t="s">
        <v>957</v>
      </c>
      <c r="B105" s="6" t="s">
        <v>665</v>
      </c>
      <c r="C105" s="6" t="s">
        <v>666</v>
      </c>
      <c r="D105" s="3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8">
        <v>1</v>
      </c>
      <c r="O105" s="8">
        <v>4</v>
      </c>
      <c r="P105" s="8">
        <v>0</v>
      </c>
      <c r="Q105" s="8">
        <v>1</v>
      </c>
    </row>
    <row r="106" spans="1:17" x14ac:dyDescent="0.25">
      <c r="A106" s="2" t="s">
        <v>958</v>
      </c>
      <c r="B106" s="6" t="s">
        <v>667</v>
      </c>
      <c r="C106" s="6" t="s">
        <v>668</v>
      </c>
      <c r="D106" s="3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8">
        <v>3</v>
      </c>
      <c r="O106" s="8">
        <v>5</v>
      </c>
      <c r="P106" s="8">
        <v>0</v>
      </c>
      <c r="Q106" s="8">
        <v>1</v>
      </c>
    </row>
    <row r="107" spans="1:17" x14ac:dyDescent="0.25">
      <c r="A107" s="2" t="s">
        <v>959</v>
      </c>
      <c r="B107" s="6" t="s">
        <v>669</v>
      </c>
      <c r="C107" s="6"/>
      <c r="D107" s="3">
        <v>64</v>
      </c>
      <c r="E107" s="6"/>
      <c r="F107" s="6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6" t="s">
        <v>647</v>
      </c>
      <c r="O107" s="6" t="s">
        <v>647</v>
      </c>
      <c r="P107" s="6" t="s">
        <v>647</v>
      </c>
      <c r="Q107" s="6" t="s">
        <v>647</v>
      </c>
    </row>
    <row r="108" spans="1:17" x14ac:dyDescent="0.25">
      <c r="A108" s="2" t="s">
        <v>960</v>
      </c>
      <c r="B108" s="6" t="s">
        <v>463</v>
      </c>
      <c r="C108" s="6" t="s">
        <v>670</v>
      </c>
      <c r="D108" s="3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8">
        <v>3</v>
      </c>
      <c r="O108" s="8">
        <v>3</v>
      </c>
      <c r="P108" s="8">
        <v>1</v>
      </c>
      <c r="Q108" s="8">
        <v>0</v>
      </c>
    </row>
    <row r="109" spans="1:17" x14ac:dyDescent="0.25">
      <c r="A109" s="2" t="s">
        <v>961</v>
      </c>
      <c r="B109" s="6" t="s">
        <v>671</v>
      </c>
      <c r="C109" s="6" t="s">
        <v>672</v>
      </c>
      <c r="D109" s="3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8">
        <v>4</v>
      </c>
      <c r="O109" s="8">
        <v>4</v>
      </c>
      <c r="P109" s="8">
        <v>0</v>
      </c>
      <c r="Q109" s="8">
        <v>1</v>
      </c>
    </row>
    <row r="110" spans="1:17" x14ac:dyDescent="0.25">
      <c r="A110" s="2" t="s">
        <v>962</v>
      </c>
      <c r="B110" s="6" t="s">
        <v>673</v>
      </c>
      <c r="C110" s="6" t="s">
        <v>674</v>
      </c>
      <c r="D110" s="3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8">
        <v>1</v>
      </c>
      <c r="O110" s="8">
        <v>7</v>
      </c>
      <c r="P110" s="8">
        <v>0</v>
      </c>
      <c r="Q110" s="8">
        <v>0</v>
      </c>
    </row>
    <row r="111" spans="1:17" x14ac:dyDescent="0.25">
      <c r="A111" s="2" t="s">
        <v>963</v>
      </c>
      <c r="B111" s="6" t="s">
        <v>675</v>
      </c>
      <c r="C111" s="6" t="s">
        <v>676</v>
      </c>
      <c r="D111" s="3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8">
        <v>3</v>
      </c>
      <c r="O111" s="8">
        <v>6</v>
      </c>
      <c r="P111" s="8">
        <v>0</v>
      </c>
      <c r="Q111" s="8">
        <v>0</v>
      </c>
    </row>
    <row r="112" spans="1:17" x14ac:dyDescent="0.25">
      <c r="A112" s="2" t="s">
        <v>964</v>
      </c>
      <c r="B112" s="6" t="s">
        <v>677</v>
      </c>
      <c r="C112" s="6" t="s">
        <v>678</v>
      </c>
      <c r="D112" s="3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8">
        <v>2</v>
      </c>
      <c r="O112" s="8">
        <v>6</v>
      </c>
      <c r="P112" s="8">
        <v>1</v>
      </c>
      <c r="Q112" s="8">
        <v>2</v>
      </c>
    </row>
    <row r="113" spans="1:17" x14ac:dyDescent="0.25">
      <c r="A113" s="2" t="s">
        <v>965</v>
      </c>
      <c r="B113" s="6" t="s">
        <v>679</v>
      </c>
      <c r="C113" s="6" t="s">
        <v>680</v>
      </c>
      <c r="D113" s="3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8">
        <v>3</v>
      </c>
      <c r="O113" s="8">
        <v>7</v>
      </c>
      <c r="P113" s="8">
        <v>1</v>
      </c>
      <c r="Q113" s="8">
        <v>0</v>
      </c>
    </row>
    <row r="114" spans="1:17" x14ac:dyDescent="0.25">
      <c r="A114" s="2" t="s">
        <v>966</v>
      </c>
      <c r="B114" s="6" t="s">
        <v>681</v>
      </c>
      <c r="C114" s="6" t="s">
        <v>682</v>
      </c>
      <c r="D114" s="3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8">
        <v>2</v>
      </c>
      <c r="O114" s="8">
        <v>6</v>
      </c>
      <c r="P114" s="8">
        <v>0</v>
      </c>
      <c r="Q114" s="8">
        <v>0</v>
      </c>
    </row>
    <row r="115" spans="1:17" x14ac:dyDescent="0.25">
      <c r="A115" s="2" t="s">
        <v>967</v>
      </c>
      <c r="B115" s="6" t="s">
        <v>683</v>
      </c>
      <c r="C115" s="6" t="s">
        <v>684</v>
      </c>
      <c r="D115" s="3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8">
        <v>3</v>
      </c>
      <c r="O115" s="8">
        <v>9</v>
      </c>
      <c r="P115" s="8">
        <v>0</v>
      </c>
      <c r="Q115" s="8">
        <v>4</v>
      </c>
    </row>
    <row r="116" spans="1:17" x14ac:dyDescent="0.25">
      <c r="A116" s="2" t="s">
        <v>968</v>
      </c>
      <c r="B116" s="6" t="s">
        <v>584</v>
      </c>
      <c r="C116" s="6" t="s">
        <v>685</v>
      </c>
      <c r="D116" s="3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8">
        <v>2</v>
      </c>
      <c r="O116" s="8">
        <v>4</v>
      </c>
      <c r="P116" s="8">
        <v>0</v>
      </c>
      <c r="Q116" s="8">
        <v>0</v>
      </c>
    </row>
    <row r="117" spans="1:17" x14ac:dyDescent="0.25">
      <c r="A117" s="2" t="s">
        <v>969</v>
      </c>
      <c r="B117" s="6" t="s">
        <v>686</v>
      </c>
      <c r="C117" s="6" t="s">
        <v>687</v>
      </c>
      <c r="D117" s="3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8">
        <v>4</v>
      </c>
      <c r="O117" s="8">
        <v>4</v>
      </c>
      <c r="P117" s="8">
        <v>1</v>
      </c>
      <c r="Q117" s="8">
        <v>0</v>
      </c>
    </row>
    <row r="118" spans="1:17" x14ac:dyDescent="0.25">
      <c r="A118" s="2" t="s">
        <v>970</v>
      </c>
      <c r="B118" s="6" t="s">
        <v>688</v>
      </c>
      <c r="C118" s="6" t="s">
        <v>689</v>
      </c>
      <c r="D118" s="3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8">
        <v>2</v>
      </c>
      <c r="O118" s="8">
        <v>6</v>
      </c>
      <c r="P118" s="8">
        <v>0</v>
      </c>
      <c r="Q118" s="8">
        <v>2</v>
      </c>
    </row>
    <row r="119" spans="1:17" x14ac:dyDescent="0.25">
      <c r="A119" s="2" t="s">
        <v>971</v>
      </c>
      <c r="B119" s="6" t="s">
        <v>690</v>
      </c>
      <c r="C119" s="6" t="s">
        <v>691</v>
      </c>
      <c r="D119" s="3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8">
        <v>1</v>
      </c>
      <c r="O119" s="8">
        <v>0</v>
      </c>
      <c r="P119" s="8">
        <v>0</v>
      </c>
      <c r="Q119" s="8">
        <v>0</v>
      </c>
    </row>
    <row r="120" spans="1:17" x14ac:dyDescent="0.25">
      <c r="A120" s="2" t="s">
        <v>972</v>
      </c>
      <c r="B120" s="6" t="s">
        <v>692</v>
      </c>
      <c r="C120" s="6" t="s">
        <v>693</v>
      </c>
      <c r="D120" s="3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8">
        <v>1</v>
      </c>
      <c r="O120" s="8">
        <v>7</v>
      </c>
      <c r="P120" s="8">
        <v>3</v>
      </c>
      <c r="Q120" s="8">
        <v>2</v>
      </c>
    </row>
    <row r="121" spans="1:17" x14ac:dyDescent="0.25">
      <c r="A121" s="2" t="s">
        <v>973</v>
      </c>
      <c r="B121" s="6" t="s">
        <v>694</v>
      </c>
      <c r="C121" s="6" t="s">
        <v>695</v>
      </c>
      <c r="D121" s="3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8">
        <v>0</v>
      </c>
      <c r="O121" s="8">
        <v>2</v>
      </c>
      <c r="P121" s="8">
        <v>0</v>
      </c>
      <c r="Q121" s="8">
        <v>0</v>
      </c>
    </row>
    <row r="122" spans="1:17" x14ac:dyDescent="0.25">
      <c r="A122" s="2" t="s">
        <v>974</v>
      </c>
      <c r="B122" s="6" t="s">
        <v>696</v>
      </c>
      <c r="C122" s="6" t="s">
        <v>697</v>
      </c>
      <c r="D122" s="3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8">
        <v>2</v>
      </c>
      <c r="O122" s="8">
        <v>3</v>
      </c>
      <c r="P122" s="8">
        <v>0</v>
      </c>
      <c r="Q122" s="8">
        <v>0</v>
      </c>
    </row>
    <row r="123" spans="1:17" x14ac:dyDescent="0.25">
      <c r="A123" s="2" t="s">
        <v>975</v>
      </c>
      <c r="B123" s="6" t="s">
        <v>698</v>
      </c>
      <c r="C123" s="6" t="s">
        <v>699</v>
      </c>
      <c r="D123" s="3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8">
        <v>1</v>
      </c>
      <c r="O123" s="8">
        <v>1</v>
      </c>
      <c r="P123" s="8">
        <v>0</v>
      </c>
      <c r="Q123" s="8">
        <v>0</v>
      </c>
    </row>
    <row r="124" spans="1:17" x14ac:dyDescent="0.25">
      <c r="A124" s="2" t="s">
        <v>976</v>
      </c>
      <c r="B124" s="6" t="s">
        <v>700</v>
      </c>
      <c r="C124" s="6" t="s">
        <v>701</v>
      </c>
      <c r="D124" s="3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8">
        <v>1</v>
      </c>
      <c r="O124" s="8">
        <v>10</v>
      </c>
      <c r="P124" s="8">
        <v>0</v>
      </c>
      <c r="Q124" s="8">
        <v>0</v>
      </c>
    </row>
    <row r="125" spans="1:17" x14ac:dyDescent="0.25">
      <c r="A125" s="2" t="s">
        <v>977</v>
      </c>
      <c r="B125" s="6" t="s">
        <v>702</v>
      </c>
      <c r="C125" s="6" t="s">
        <v>703</v>
      </c>
      <c r="D125" s="3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8">
        <v>0</v>
      </c>
      <c r="O125" s="8">
        <v>13</v>
      </c>
      <c r="P125" s="8">
        <v>0</v>
      </c>
      <c r="Q125" s="8">
        <v>2</v>
      </c>
    </row>
    <row r="126" spans="1:17" x14ac:dyDescent="0.25">
      <c r="A126" s="2" t="s">
        <v>978</v>
      </c>
      <c r="B126" s="6" t="s">
        <v>704</v>
      </c>
      <c r="C126" s="6" t="s">
        <v>705</v>
      </c>
      <c r="D126" s="3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8">
        <v>1</v>
      </c>
      <c r="O126" s="8">
        <v>2</v>
      </c>
      <c r="P126" s="8">
        <v>1</v>
      </c>
      <c r="Q126" s="8">
        <v>0</v>
      </c>
    </row>
    <row r="127" spans="1:17" x14ac:dyDescent="0.25">
      <c r="A127" s="2" t="s">
        <v>979</v>
      </c>
      <c r="B127" s="6" t="s">
        <v>706</v>
      </c>
      <c r="C127" s="6" t="s">
        <v>707</v>
      </c>
      <c r="D127" s="3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8">
        <v>0</v>
      </c>
      <c r="O127" s="8">
        <v>5</v>
      </c>
      <c r="P127" s="8">
        <v>0</v>
      </c>
      <c r="Q127" s="8">
        <v>0</v>
      </c>
    </row>
    <row r="128" spans="1:17" x14ac:dyDescent="0.25">
      <c r="A128" s="2" t="s">
        <v>980</v>
      </c>
      <c r="B128" s="6" t="s">
        <v>708</v>
      </c>
      <c r="C128" s="6" t="s">
        <v>709</v>
      </c>
      <c r="D128" s="3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8">
        <v>0</v>
      </c>
      <c r="O128" s="8">
        <v>6</v>
      </c>
      <c r="P128" s="8">
        <v>1</v>
      </c>
      <c r="Q128" s="8">
        <v>1</v>
      </c>
    </row>
    <row r="129" spans="1:17" x14ac:dyDescent="0.25">
      <c r="A129" s="2" t="s">
        <v>981</v>
      </c>
      <c r="B129" s="6" t="s">
        <v>710</v>
      </c>
      <c r="C129" s="6" t="s">
        <v>711</v>
      </c>
      <c r="D129" s="3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8">
        <v>4</v>
      </c>
      <c r="O129" s="8">
        <v>4</v>
      </c>
      <c r="P129" s="8">
        <v>0</v>
      </c>
      <c r="Q129" s="8">
        <v>0</v>
      </c>
    </row>
    <row r="130" spans="1:17" x14ac:dyDescent="0.25">
      <c r="A130" s="2" t="s">
        <v>982</v>
      </c>
      <c r="B130" s="6" t="s">
        <v>465</v>
      </c>
      <c r="C130" s="6" t="s">
        <v>712</v>
      </c>
      <c r="D130" s="3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8">
        <v>0</v>
      </c>
      <c r="O130" s="8">
        <v>0</v>
      </c>
      <c r="P130" s="8">
        <v>0</v>
      </c>
      <c r="Q130" s="8">
        <v>0</v>
      </c>
    </row>
    <row r="131" spans="1:17" x14ac:dyDescent="0.25">
      <c r="A131" s="2" t="s">
        <v>983</v>
      </c>
      <c r="B131" s="6" t="s">
        <v>713</v>
      </c>
      <c r="C131" s="6" t="s">
        <v>714</v>
      </c>
      <c r="D131" s="3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8">
        <v>4</v>
      </c>
      <c r="O131" s="8">
        <v>4</v>
      </c>
      <c r="P131" s="8">
        <v>0</v>
      </c>
      <c r="Q131" s="8">
        <v>2</v>
      </c>
    </row>
    <row r="132" spans="1:17" x14ac:dyDescent="0.25">
      <c r="A132" s="2" t="s">
        <v>984</v>
      </c>
      <c r="B132" s="6" t="s">
        <v>715</v>
      </c>
      <c r="C132" s="6" t="s">
        <v>716</v>
      </c>
      <c r="D132" s="3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8">
        <v>1</v>
      </c>
      <c r="O132" s="8">
        <v>6</v>
      </c>
      <c r="P132" s="8">
        <v>1</v>
      </c>
      <c r="Q132" s="8">
        <v>0</v>
      </c>
    </row>
    <row r="133" spans="1:17" x14ac:dyDescent="0.25">
      <c r="A133" s="2" t="s">
        <v>985</v>
      </c>
      <c r="B133" s="6" t="s">
        <v>533</v>
      </c>
      <c r="C133" s="6" t="s">
        <v>717</v>
      </c>
      <c r="D133" s="3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8">
        <v>1</v>
      </c>
      <c r="O133" s="8">
        <v>4</v>
      </c>
      <c r="P133" s="8">
        <v>0</v>
      </c>
      <c r="Q133" s="8">
        <v>1</v>
      </c>
    </row>
    <row r="134" spans="1:17" x14ac:dyDescent="0.25">
      <c r="A134" s="2" t="s">
        <v>986</v>
      </c>
      <c r="B134" s="6" t="s">
        <v>718</v>
      </c>
      <c r="C134" s="6" t="s">
        <v>719</v>
      </c>
      <c r="D134" s="3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8">
        <v>1</v>
      </c>
      <c r="O134" s="8">
        <v>0</v>
      </c>
      <c r="P134" s="8">
        <v>0</v>
      </c>
      <c r="Q134" s="8">
        <v>0</v>
      </c>
    </row>
    <row r="135" spans="1:17" x14ac:dyDescent="0.25">
      <c r="A135" s="2" t="s">
        <v>987</v>
      </c>
      <c r="B135" s="6" t="s">
        <v>720</v>
      </c>
      <c r="C135" s="6" t="s">
        <v>721</v>
      </c>
      <c r="D135" s="3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8">
        <v>0</v>
      </c>
      <c r="O135" s="8">
        <v>5</v>
      </c>
      <c r="P135" s="8">
        <v>0</v>
      </c>
      <c r="Q135" s="8">
        <v>0</v>
      </c>
    </row>
    <row r="136" spans="1:17" x14ac:dyDescent="0.25">
      <c r="A136" s="2" t="s">
        <v>988</v>
      </c>
      <c r="B136" s="6" t="s">
        <v>722</v>
      </c>
      <c r="C136" s="6" t="s">
        <v>723</v>
      </c>
      <c r="D136" s="3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8">
        <v>0</v>
      </c>
      <c r="O136" s="8">
        <v>2</v>
      </c>
      <c r="P136" s="8">
        <v>2</v>
      </c>
      <c r="Q136" s="8">
        <v>0</v>
      </c>
    </row>
    <row r="137" spans="1:17" x14ac:dyDescent="0.25">
      <c r="A137" s="2" t="s">
        <v>989</v>
      </c>
      <c r="B137" s="6" t="s">
        <v>724</v>
      </c>
      <c r="C137" s="6" t="s">
        <v>725</v>
      </c>
      <c r="D137" s="3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8">
        <v>1</v>
      </c>
      <c r="O137" s="8">
        <v>5</v>
      </c>
      <c r="P137" s="8">
        <v>0</v>
      </c>
      <c r="Q137" s="8">
        <v>0</v>
      </c>
    </row>
    <row r="138" spans="1:17" x14ac:dyDescent="0.25">
      <c r="A138" s="2" t="s">
        <v>990</v>
      </c>
      <c r="B138" s="6" t="s">
        <v>726</v>
      </c>
      <c r="C138" s="6" t="s">
        <v>727</v>
      </c>
      <c r="D138" s="3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8">
        <v>2</v>
      </c>
      <c r="O138" s="8">
        <v>5</v>
      </c>
      <c r="P138" s="8">
        <v>0</v>
      </c>
      <c r="Q138" s="8">
        <v>0</v>
      </c>
    </row>
    <row r="139" spans="1:17" x14ac:dyDescent="0.25">
      <c r="A139" s="2" t="s">
        <v>991</v>
      </c>
      <c r="B139" s="6" t="s">
        <v>728</v>
      </c>
      <c r="C139" s="6" t="s">
        <v>729</v>
      </c>
      <c r="D139" s="3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8">
        <v>0</v>
      </c>
      <c r="O139" s="8">
        <v>5</v>
      </c>
      <c r="P139" s="8">
        <v>0</v>
      </c>
      <c r="Q139" s="8">
        <v>0</v>
      </c>
    </row>
    <row r="140" spans="1:17" x14ac:dyDescent="0.25">
      <c r="A140" s="2" t="s">
        <v>992</v>
      </c>
      <c r="B140" s="6" t="s">
        <v>730</v>
      </c>
      <c r="C140" s="6" t="s">
        <v>731</v>
      </c>
      <c r="D140" s="3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8">
        <v>0</v>
      </c>
      <c r="O140" s="8">
        <v>6</v>
      </c>
      <c r="P140" s="8">
        <v>0</v>
      </c>
      <c r="Q140" s="8">
        <v>1</v>
      </c>
    </row>
    <row r="141" spans="1:17" x14ac:dyDescent="0.25">
      <c r="A141" s="2" t="s">
        <v>993</v>
      </c>
      <c r="B141" s="6" t="s">
        <v>732</v>
      </c>
      <c r="C141" s="6" t="s">
        <v>733</v>
      </c>
      <c r="D141" s="3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8">
        <v>2</v>
      </c>
      <c r="O141" s="8">
        <v>3</v>
      </c>
      <c r="P141" s="8">
        <v>1</v>
      </c>
      <c r="Q141" s="8">
        <v>0</v>
      </c>
    </row>
    <row r="142" spans="1:17" x14ac:dyDescent="0.25">
      <c r="A142" s="2" t="s">
        <v>994</v>
      </c>
      <c r="B142" s="6" t="s">
        <v>734</v>
      </c>
      <c r="C142" s="6" t="s">
        <v>735</v>
      </c>
      <c r="D142" s="3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8">
        <v>0</v>
      </c>
      <c r="O142" s="8">
        <v>2</v>
      </c>
      <c r="P142" s="8">
        <v>2</v>
      </c>
      <c r="Q142" s="8">
        <v>0</v>
      </c>
    </row>
    <row r="143" spans="1:17" x14ac:dyDescent="0.25">
      <c r="A143" s="2" t="s">
        <v>995</v>
      </c>
      <c r="B143" s="6" t="s">
        <v>736</v>
      </c>
      <c r="C143" s="6" t="s">
        <v>737</v>
      </c>
      <c r="D143" s="3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8">
        <v>2</v>
      </c>
      <c r="O143" s="8">
        <v>10</v>
      </c>
      <c r="P143" s="8">
        <v>0</v>
      </c>
      <c r="Q143" s="8">
        <v>1</v>
      </c>
    </row>
    <row r="144" spans="1:17" x14ac:dyDescent="0.25">
      <c r="A144" s="2" t="s">
        <v>996</v>
      </c>
      <c r="B144" s="6" t="s">
        <v>738</v>
      </c>
      <c r="C144" s="6" t="s">
        <v>739</v>
      </c>
      <c r="D144" s="3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8">
        <v>3</v>
      </c>
      <c r="O144" s="8">
        <v>1</v>
      </c>
      <c r="P144" s="8">
        <v>2</v>
      </c>
      <c r="Q144" s="8">
        <v>0</v>
      </c>
    </row>
    <row r="145" spans="1:17" x14ac:dyDescent="0.25">
      <c r="A145" s="2" t="s">
        <v>997</v>
      </c>
      <c r="B145" s="6" t="s">
        <v>740</v>
      </c>
      <c r="C145" s="6" t="s">
        <v>741</v>
      </c>
      <c r="D145" s="3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8">
        <v>0</v>
      </c>
      <c r="O145" s="8">
        <v>1</v>
      </c>
      <c r="P145" s="8">
        <v>0</v>
      </c>
      <c r="Q145" s="8">
        <v>0</v>
      </c>
    </row>
    <row r="146" spans="1:17" x14ac:dyDescent="0.25">
      <c r="A146" s="2" t="s">
        <v>998</v>
      </c>
      <c r="B146" s="6" t="s">
        <v>742</v>
      </c>
      <c r="C146" s="6" t="s">
        <v>743</v>
      </c>
      <c r="D146" s="3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8">
        <v>0</v>
      </c>
      <c r="O146" s="8">
        <v>7</v>
      </c>
      <c r="P146" s="8">
        <v>0</v>
      </c>
      <c r="Q146" s="8">
        <v>0</v>
      </c>
    </row>
    <row r="147" spans="1:17" x14ac:dyDescent="0.25">
      <c r="A147" s="2" t="s">
        <v>999</v>
      </c>
      <c r="B147" s="6" t="s">
        <v>744</v>
      </c>
      <c r="C147" s="6" t="s">
        <v>745</v>
      </c>
      <c r="D147" s="3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8">
        <v>2</v>
      </c>
      <c r="O147" s="8">
        <v>5</v>
      </c>
      <c r="P147" s="8">
        <v>0</v>
      </c>
      <c r="Q147" s="8">
        <v>0</v>
      </c>
    </row>
    <row r="148" spans="1:17" x14ac:dyDescent="0.25">
      <c r="A148" s="2" t="s">
        <v>1000</v>
      </c>
      <c r="B148" s="6" t="s">
        <v>746</v>
      </c>
      <c r="C148" s="6" t="s">
        <v>747</v>
      </c>
      <c r="D148" s="3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8">
        <v>0</v>
      </c>
      <c r="O148" s="8">
        <v>12</v>
      </c>
      <c r="P148" s="8">
        <v>1</v>
      </c>
      <c r="Q148" s="8">
        <v>0</v>
      </c>
    </row>
    <row r="149" spans="1:17" x14ac:dyDescent="0.25">
      <c r="A149" s="2" t="s">
        <v>1001</v>
      </c>
      <c r="B149" s="6" t="s">
        <v>748</v>
      </c>
      <c r="C149" s="6" t="s">
        <v>749</v>
      </c>
      <c r="D149" s="3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8">
        <v>0</v>
      </c>
      <c r="O149" s="8">
        <v>1</v>
      </c>
      <c r="P149" s="8">
        <v>0</v>
      </c>
      <c r="Q149" s="8">
        <v>4</v>
      </c>
    </row>
    <row r="150" spans="1:17" x14ac:dyDescent="0.25">
      <c r="A150" s="2" t="s">
        <v>1002</v>
      </c>
      <c r="B150" s="6" t="s">
        <v>750</v>
      </c>
      <c r="C150" s="6" t="s">
        <v>751</v>
      </c>
      <c r="D150" s="3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8">
        <v>4</v>
      </c>
      <c r="O150" s="8">
        <v>5</v>
      </c>
      <c r="P150" s="8">
        <v>0</v>
      </c>
      <c r="Q150" s="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45" zoomScaleNormal="145" workbookViewId="0">
      <selection activeCell="A2" sqref="A1:J1048576"/>
    </sheetView>
  </sheetViews>
  <sheetFormatPr defaultRowHeight="15" x14ac:dyDescent="0.25"/>
  <cols>
    <col min="1" max="1" width="30.42578125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6.45" x14ac:dyDescent="0.3">
      <c r="A1" s="1" t="s">
        <v>0</v>
      </c>
      <c r="B1" s="1" t="s">
        <v>449</v>
      </c>
      <c r="C1" s="1" t="s">
        <v>752</v>
      </c>
      <c r="D1" s="1" t="s">
        <v>753</v>
      </c>
      <c r="E1" s="1" t="s">
        <v>754</v>
      </c>
      <c r="F1" s="1" t="s">
        <v>755</v>
      </c>
      <c r="G1" s="1" t="s">
        <v>756</v>
      </c>
      <c r="H1" s="1" t="s">
        <v>757</v>
      </c>
      <c r="I1" s="1" t="s">
        <v>758</v>
      </c>
      <c r="J1" s="1" t="s">
        <v>759</v>
      </c>
    </row>
    <row r="2" spans="1:10" ht="14.45" x14ac:dyDescent="0.3">
      <c r="A2" s="2" t="s">
        <v>854</v>
      </c>
      <c r="B2" s="3">
        <v>98</v>
      </c>
      <c r="C2" s="4">
        <v>0</v>
      </c>
      <c r="D2" s="4">
        <v>0</v>
      </c>
      <c r="E2" s="4">
        <v>0</v>
      </c>
      <c r="F2" s="4">
        <v>0.10294117647058799</v>
      </c>
      <c r="G2" s="4">
        <v>0</v>
      </c>
      <c r="H2" s="5" t="s">
        <v>760</v>
      </c>
      <c r="I2" s="5" t="s">
        <v>761</v>
      </c>
      <c r="J2" s="5" t="s">
        <v>762</v>
      </c>
    </row>
    <row r="3" spans="1:10" ht="14.45" x14ac:dyDescent="0.3">
      <c r="A3" s="2" t="s">
        <v>855</v>
      </c>
      <c r="B3" s="3">
        <v>23</v>
      </c>
      <c r="C3" s="4">
        <v>0</v>
      </c>
      <c r="D3" s="4">
        <v>0</v>
      </c>
      <c r="E3" s="4">
        <v>0</v>
      </c>
      <c r="F3" s="4">
        <v>0.10294117647058799</v>
      </c>
      <c r="G3" s="4">
        <v>0</v>
      </c>
      <c r="H3" s="5" t="s">
        <v>760</v>
      </c>
      <c r="I3" s="5" t="s">
        <v>761</v>
      </c>
      <c r="J3" s="5" t="s">
        <v>762</v>
      </c>
    </row>
    <row r="4" spans="1:10" ht="14.45" x14ac:dyDescent="0.3">
      <c r="A4" s="2" t="s">
        <v>856</v>
      </c>
      <c r="B4" s="3">
        <v>28</v>
      </c>
      <c r="C4" s="4">
        <v>1.4705882352941201E-2</v>
      </c>
      <c r="D4" s="4">
        <v>0</v>
      </c>
      <c r="E4" s="4">
        <v>0</v>
      </c>
      <c r="F4" s="4">
        <v>7.3529411764705899E-2</v>
      </c>
      <c r="G4" s="4">
        <v>0</v>
      </c>
      <c r="H4" s="5" t="s">
        <v>763</v>
      </c>
      <c r="I4" s="5" t="s">
        <v>11</v>
      </c>
      <c r="J4" s="5" t="s">
        <v>764</v>
      </c>
    </row>
    <row r="5" spans="1:10" ht="14.45" x14ac:dyDescent="0.3">
      <c r="A5" s="2" t="s">
        <v>857</v>
      </c>
      <c r="B5" s="3">
        <v>29</v>
      </c>
      <c r="C5" s="4">
        <v>1.4705882352941201E-2</v>
      </c>
      <c r="D5" s="4">
        <v>0</v>
      </c>
      <c r="E5" s="4">
        <v>0</v>
      </c>
      <c r="F5" s="4">
        <v>7.3529411764705899E-2</v>
      </c>
      <c r="G5" s="4">
        <v>0</v>
      </c>
      <c r="H5" s="5" t="s">
        <v>763</v>
      </c>
      <c r="I5" s="5" t="s">
        <v>11</v>
      </c>
      <c r="J5" s="5" t="s">
        <v>764</v>
      </c>
    </row>
    <row r="6" spans="1:10" ht="14.45" x14ac:dyDescent="0.3">
      <c r="A6" s="2" t="s">
        <v>858</v>
      </c>
      <c r="B6" s="3">
        <v>93</v>
      </c>
      <c r="C6" s="4">
        <v>8.3333333333333301E-2</v>
      </c>
      <c r="D6" s="4">
        <v>0</v>
      </c>
      <c r="E6" s="4">
        <v>0</v>
      </c>
      <c r="F6" s="4">
        <v>0.16666666666666699</v>
      </c>
      <c r="G6" s="4">
        <v>0.1</v>
      </c>
      <c r="H6" s="5" t="s">
        <v>765</v>
      </c>
      <c r="I6" s="5" t="s">
        <v>766</v>
      </c>
      <c r="J6" s="5" t="s">
        <v>767</v>
      </c>
    </row>
    <row r="7" spans="1:10" ht="14.45" x14ac:dyDescent="0.3">
      <c r="A7" s="2" t="s">
        <v>859</v>
      </c>
      <c r="B7" s="3">
        <v>92</v>
      </c>
      <c r="C7" s="4">
        <v>8.3333333333333301E-2</v>
      </c>
      <c r="D7" s="4">
        <v>0</v>
      </c>
      <c r="E7" s="4">
        <v>0</v>
      </c>
      <c r="F7" s="4">
        <v>0.16666666666666699</v>
      </c>
      <c r="G7" s="4">
        <v>0.1</v>
      </c>
      <c r="H7" s="5" t="s">
        <v>765</v>
      </c>
      <c r="I7" s="5" t="s">
        <v>766</v>
      </c>
      <c r="J7" s="5" t="s">
        <v>767</v>
      </c>
    </row>
    <row r="8" spans="1:10" ht="14.45" x14ac:dyDescent="0.3">
      <c r="A8" s="2" t="s">
        <v>860</v>
      </c>
      <c r="B8" s="3">
        <v>26</v>
      </c>
      <c r="C8" s="4">
        <v>5.4545454545454501E-2</v>
      </c>
      <c r="D8" s="4">
        <v>0</v>
      </c>
      <c r="E8" s="4">
        <v>1.7857142857142901E-2</v>
      </c>
      <c r="F8" s="4">
        <v>0.109090909090909</v>
      </c>
      <c r="G8" s="4">
        <v>0</v>
      </c>
      <c r="H8" s="5" t="s">
        <v>768</v>
      </c>
      <c r="I8" s="5" t="s">
        <v>11</v>
      </c>
      <c r="J8" s="5" t="s">
        <v>769</v>
      </c>
    </row>
    <row r="9" spans="1:10" ht="14.45" x14ac:dyDescent="0.3">
      <c r="A9" s="2" t="s">
        <v>861</v>
      </c>
      <c r="B9" s="3">
        <v>90</v>
      </c>
      <c r="C9" s="4">
        <v>5.4545454545454501E-2</v>
      </c>
      <c r="D9" s="4">
        <v>0</v>
      </c>
      <c r="E9" s="4">
        <v>1.7857142857142901E-2</v>
      </c>
      <c r="F9" s="4">
        <v>0.109090909090909</v>
      </c>
      <c r="G9" s="4">
        <v>0</v>
      </c>
      <c r="H9" s="5" t="s">
        <v>768</v>
      </c>
      <c r="I9" s="5" t="s">
        <v>11</v>
      </c>
      <c r="J9" s="5" t="s">
        <v>769</v>
      </c>
    </row>
    <row r="10" spans="1:10" ht="14.45" x14ac:dyDescent="0.3">
      <c r="A10" s="2" t="s">
        <v>862</v>
      </c>
      <c r="B10" s="3">
        <v>89</v>
      </c>
      <c r="C10" s="4">
        <v>0</v>
      </c>
      <c r="D10" s="4">
        <v>0</v>
      </c>
      <c r="E10" s="4">
        <v>0</v>
      </c>
      <c r="F10" s="4">
        <v>6.8181818181818205E-2</v>
      </c>
      <c r="G10" s="4">
        <v>0</v>
      </c>
      <c r="H10" s="5" t="s">
        <v>770</v>
      </c>
      <c r="I10" s="5" t="s">
        <v>771</v>
      </c>
      <c r="J10" s="5" t="s">
        <v>772</v>
      </c>
    </row>
    <row r="11" spans="1:10" ht="14.45" x14ac:dyDescent="0.3">
      <c r="A11" s="2" t="s">
        <v>863</v>
      </c>
      <c r="B11" s="3">
        <v>54</v>
      </c>
      <c r="C11" s="4">
        <v>0</v>
      </c>
      <c r="D11" s="4">
        <v>0</v>
      </c>
      <c r="E11" s="4">
        <v>0</v>
      </c>
      <c r="F11" s="4">
        <v>6.8181818181818205E-2</v>
      </c>
      <c r="G11" s="4">
        <v>0</v>
      </c>
      <c r="H11" s="5" t="s">
        <v>770</v>
      </c>
      <c r="I11" s="5" t="s">
        <v>771</v>
      </c>
      <c r="J11" s="5" t="s">
        <v>772</v>
      </c>
    </row>
    <row r="12" spans="1:10" ht="14.45" x14ac:dyDescent="0.3">
      <c r="A12" s="2" t="s">
        <v>864</v>
      </c>
      <c r="B12" s="3">
        <v>87</v>
      </c>
      <c r="C12" s="4">
        <v>0</v>
      </c>
      <c r="D12" s="4">
        <v>0</v>
      </c>
      <c r="E12" s="4">
        <v>0</v>
      </c>
      <c r="F12" s="4">
        <v>6.5217391304347797E-2</v>
      </c>
      <c r="G12" s="4">
        <v>0</v>
      </c>
      <c r="H12" s="5" t="s">
        <v>773</v>
      </c>
      <c r="I12" s="5" t="s">
        <v>774</v>
      </c>
      <c r="J12" s="5" t="s">
        <v>775</v>
      </c>
    </row>
    <row r="13" spans="1:10" ht="14.45" x14ac:dyDescent="0.3">
      <c r="A13" s="2" t="s">
        <v>865</v>
      </c>
      <c r="B13" s="3">
        <v>65</v>
      </c>
      <c r="C13" s="4">
        <v>0</v>
      </c>
      <c r="D13" s="4">
        <v>0</v>
      </c>
      <c r="E13" s="4">
        <v>0</v>
      </c>
      <c r="F13" s="4">
        <v>6.5217391304347797E-2</v>
      </c>
      <c r="G13" s="4">
        <v>0</v>
      </c>
      <c r="H13" s="5" t="s">
        <v>773</v>
      </c>
      <c r="I13" s="5" t="s">
        <v>774</v>
      </c>
      <c r="J13" s="5" t="s">
        <v>775</v>
      </c>
    </row>
    <row r="14" spans="1:10" ht="14.45" x14ac:dyDescent="0.3">
      <c r="A14" s="2" t="s">
        <v>866</v>
      </c>
      <c r="B14" s="3">
        <v>85</v>
      </c>
      <c r="C14" s="4">
        <v>0</v>
      </c>
      <c r="D14" s="4">
        <v>0</v>
      </c>
      <c r="E14" s="4">
        <v>0</v>
      </c>
      <c r="F14" s="4">
        <v>7.69230769230769E-2</v>
      </c>
      <c r="G14" s="4">
        <v>0</v>
      </c>
      <c r="H14" s="5" t="s">
        <v>776</v>
      </c>
      <c r="I14" s="5" t="s">
        <v>11</v>
      </c>
      <c r="J14" s="5" t="s">
        <v>777</v>
      </c>
    </row>
    <row r="15" spans="1:10" ht="14.45" x14ac:dyDescent="0.3">
      <c r="A15" s="2" t="s">
        <v>867</v>
      </c>
      <c r="B15" s="3">
        <v>65</v>
      </c>
      <c r="C15" s="4">
        <v>0</v>
      </c>
      <c r="D15" s="4">
        <v>0</v>
      </c>
      <c r="E15" s="4">
        <v>0</v>
      </c>
      <c r="F15" s="4">
        <v>7.69230769230769E-2</v>
      </c>
      <c r="G15" s="4">
        <v>0</v>
      </c>
      <c r="H15" s="5" t="s">
        <v>776</v>
      </c>
      <c r="I15" s="5" t="s">
        <v>11</v>
      </c>
      <c r="J15" s="5" t="s">
        <v>777</v>
      </c>
    </row>
    <row r="16" spans="1:10" ht="14.45" x14ac:dyDescent="0.3">
      <c r="A16" s="2" t="s">
        <v>868</v>
      </c>
      <c r="B16" s="3">
        <v>83</v>
      </c>
      <c r="C16" s="4">
        <v>9.6385542168674704E-2</v>
      </c>
      <c r="D16" s="4">
        <v>0</v>
      </c>
      <c r="E16" s="4">
        <v>1.1904761904761901E-2</v>
      </c>
      <c r="F16" s="4">
        <v>0.132530120481928</v>
      </c>
      <c r="G16" s="4">
        <v>9.0909090909090898E-2</v>
      </c>
      <c r="H16" s="5" t="s">
        <v>773</v>
      </c>
      <c r="I16" s="5" t="s">
        <v>778</v>
      </c>
      <c r="J16" s="5" t="s">
        <v>779</v>
      </c>
    </row>
    <row r="17" spans="1:10" ht="14.45" x14ac:dyDescent="0.3">
      <c r="A17" s="2" t="s">
        <v>869</v>
      </c>
      <c r="B17" s="3">
        <v>82</v>
      </c>
      <c r="C17" s="4">
        <v>9.6385542168674704E-2</v>
      </c>
      <c r="D17" s="4">
        <v>0</v>
      </c>
      <c r="E17" s="4">
        <v>1.1904761904761901E-2</v>
      </c>
      <c r="F17" s="4">
        <v>0.132530120481928</v>
      </c>
      <c r="G17" s="4">
        <v>9.0909090909090898E-2</v>
      </c>
      <c r="H17" s="5" t="s">
        <v>773</v>
      </c>
      <c r="I17" s="5" t="s">
        <v>778</v>
      </c>
      <c r="J17" s="5" t="s">
        <v>779</v>
      </c>
    </row>
    <row r="18" spans="1:10" ht="14.45" x14ac:dyDescent="0.3">
      <c r="A18" s="2" t="s">
        <v>870</v>
      </c>
      <c r="B18" s="3">
        <v>81</v>
      </c>
      <c r="C18" s="4">
        <v>3.03030303030303E-2</v>
      </c>
      <c r="D18" s="4">
        <v>0</v>
      </c>
      <c r="E18" s="4">
        <v>2.8571428571428598E-2</v>
      </c>
      <c r="F18" s="4">
        <v>7.5757575757575801E-2</v>
      </c>
      <c r="G18" s="4">
        <v>0</v>
      </c>
      <c r="H18" s="5" t="s">
        <v>780</v>
      </c>
      <c r="I18" s="5" t="s">
        <v>777</v>
      </c>
      <c r="J18" s="5" t="s">
        <v>764</v>
      </c>
    </row>
    <row r="19" spans="1:10" x14ac:dyDescent="0.25">
      <c r="A19" s="2" t="s">
        <v>871</v>
      </c>
      <c r="B19" s="3">
        <v>80</v>
      </c>
      <c r="C19" s="4">
        <v>3.03030303030303E-2</v>
      </c>
      <c r="D19" s="4">
        <v>0</v>
      </c>
      <c r="E19" s="4">
        <v>2.8571428571428598E-2</v>
      </c>
      <c r="F19" s="4">
        <v>7.5757575757575801E-2</v>
      </c>
      <c r="G19" s="4">
        <v>0</v>
      </c>
      <c r="H19" s="5" t="s">
        <v>780</v>
      </c>
      <c r="I19" s="5" t="s">
        <v>777</v>
      </c>
      <c r="J19" s="5" t="s">
        <v>764</v>
      </c>
    </row>
    <row r="20" spans="1:10" x14ac:dyDescent="0.25">
      <c r="A20" s="2" t="s">
        <v>872</v>
      </c>
      <c r="B20" s="3">
        <v>79</v>
      </c>
      <c r="C20" s="4">
        <v>5.9701492537313397E-2</v>
      </c>
      <c r="D20" s="4">
        <v>0</v>
      </c>
      <c r="E20" s="4">
        <v>0</v>
      </c>
      <c r="F20" s="4">
        <v>0.104477611940299</v>
      </c>
      <c r="G20" s="4">
        <v>0</v>
      </c>
      <c r="H20" s="5" t="s">
        <v>781</v>
      </c>
      <c r="I20" s="5" t="s">
        <v>761</v>
      </c>
      <c r="J20" s="5" t="s">
        <v>777</v>
      </c>
    </row>
    <row r="21" spans="1:10" x14ac:dyDescent="0.25">
      <c r="A21" s="2" t="s">
        <v>873</v>
      </c>
      <c r="B21" s="3">
        <v>78</v>
      </c>
      <c r="C21" s="4">
        <v>5.9701492537313397E-2</v>
      </c>
      <c r="D21" s="4">
        <v>0</v>
      </c>
      <c r="E21" s="4">
        <v>0</v>
      </c>
      <c r="F21" s="4">
        <v>0.104477611940299</v>
      </c>
      <c r="G21" s="4">
        <v>0</v>
      </c>
      <c r="H21" s="5" t="s">
        <v>781</v>
      </c>
      <c r="I21" s="5" t="s">
        <v>761</v>
      </c>
      <c r="J21" s="5" t="s">
        <v>777</v>
      </c>
    </row>
    <row r="22" spans="1:10" x14ac:dyDescent="0.25">
      <c r="A22" s="2" t="s">
        <v>874</v>
      </c>
      <c r="B22" s="3">
        <v>77</v>
      </c>
      <c r="C22" s="4">
        <v>2.9850746268656699E-2</v>
      </c>
      <c r="D22" s="4">
        <v>0</v>
      </c>
      <c r="E22" s="4">
        <v>0</v>
      </c>
      <c r="F22" s="4">
        <v>0.119402985074627</v>
      </c>
      <c r="G22" s="4">
        <v>0</v>
      </c>
      <c r="H22" s="5" t="s">
        <v>782</v>
      </c>
      <c r="I22" s="5" t="s">
        <v>783</v>
      </c>
      <c r="J22" s="5" t="s">
        <v>762</v>
      </c>
    </row>
    <row r="23" spans="1:10" x14ac:dyDescent="0.25">
      <c r="A23" s="2" t="s">
        <v>875</v>
      </c>
      <c r="B23" s="3">
        <v>76</v>
      </c>
      <c r="C23" s="4">
        <v>2.9850746268656699E-2</v>
      </c>
      <c r="D23" s="4">
        <v>0</v>
      </c>
      <c r="E23" s="4">
        <v>0</v>
      </c>
      <c r="F23" s="4">
        <v>0.119402985074627</v>
      </c>
      <c r="G23" s="4">
        <v>0</v>
      </c>
      <c r="H23" s="5" t="s">
        <v>782</v>
      </c>
      <c r="I23" s="5" t="s">
        <v>783</v>
      </c>
      <c r="J23" s="5" t="s">
        <v>762</v>
      </c>
    </row>
    <row r="24" spans="1:10" x14ac:dyDescent="0.25">
      <c r="A24" s="2" t="s">
        <v>876</v>
      </c>
      <c r="B24" s="3">
        <v>75</v>
      </c>
      <c r="C24" s="4">
        <v>7.2727272727272696E-2</v>
      </c>
      <c r="D24" s="4">
        <v>0</v>
      </c>
      <c r="E24" s="4">
        <v>1.7543859649122799E-2</v>
      </c>
      <c r="F24" s="4">
        <v>7.2727272727272696E-2</v>
      </c>
      <c r="G24" s="4">
        <v>0</v>
      </c>
      <c r="H24" s="5" t="s">
        <v>784</v>
      </c>
      <c r="I24" s="5" t="s">
        <v>11</v>
      </c>
      <c r="J24" s="5" t="s">
        <v>785</v>
      </c>
    </row>
    <row r="25" spans="1:10" x14ac:dyDescent="0.25">
      <c r="A25" s="2" t="s">
        <v>877</v>
      </c>
      <c r="B25" s="3">
        <v>74</v>
      </c>
      <c r="C25" s="4">
        <v>7.2727272727272696E-2</v>
      </c>
      <c r="D25" s="4">
        <v>0</v>
      </c>
      <c r="E25" s="4">
        <v>1.7543859649122799E-2</v>
      </c>
      <c r="F25" s="4">
        <v>7.2727272727272696E-2</v>
      </c>
      <c r="G25" s="4">
        <v>0</v>
      </c>
      <c r="H25" s="5" t="s">
        <v>784</v>
      </c>
      <c r="I25" s="5" t="s">
        <v>11</v>
      </c>
      <c r="J25" s="5" t="s">
        <v>785</v>
      </c>
    </row>
    <row r="26" spans="1:10" x14ac:dyDescent="0.25">
      <c r="A26" s="2" t="s">
        <v>878</v>
      </c>
      <c r="B26" s="3">
        <v>73</v>
      </c>
      <c r="C26" s="4">
        <v>9.0909090909090898E-2</v>
      </c>
      <c r="D26" s="4">
        <v>0</v>
      </c>
      <c r="E26" s="4">
        <v>0</v>
      </c>
      <c r="F26" s="4">
        <v>0.10606060606060599</v>
      </c>
      <c r="G26" s="4">
        <v>0</v>
      </c>
      <c r="H26" s="5" t="s">
        <v>784</v>
      </c>
      <c r="I26" s="5" t="s">
        <v>761</v>
      </c>
      <c r="J26" s="5" t="s">
        <v>786</v>
      </c>
    </row>
    <row r="27" spans="1:10" x14ac:dyDescent="0.25">
      <c r="A27" s="2" t="s">
        <v>879</v>
      </c>
      <c r="B27" s="3">
        <v>72</v>
      </c>
      <c r="C27" s="4">
        <v>9.0909090909090898E-2</v>
      </c>
      <c r="D27" s="4">
        <v>0</v>
      </c>
      <c r="E27" s="4">
        <v>0</v>
      </c>
      <c r="F27" s="4">
        <v>0.10606060606060599</v>
      </c>
      <c r="G27" s="4">
        <v>0</v>
      </c>
      <c r="H27" s="5" t="s">
        <v>784</v>
      </c>
      <c r="I27" s="5" t="s">
        <v>761</v>
      </c>
      <c r="J27" s="5" t="s">
        <v>786</v>
      </c>
    </row>
    <row r="28" spans="1:10" x14ac:dyDescent="0.25">
      <c r="A28" s="2" t="s">
        <v>880</v>
      </c>
      <c r="B28" s="3">
        <v>71</v>
      </c>
      <c r="C28" s="4">
        <v>8.0645161290322606E-2</v>
      </c>
      <c r="D28" s="4">
        <v>0</v>
      </c>
      <c r="E28" s="4">
        <v>0</v>
      </c>
      <c r="F28" s="4">
        <v>0.14516129032258099</v>
      </c>
      <c r="G28" s="4">
        <v>0.11111111111111099</v>
      </c>
      <c r="H28" s="5" t="s">
        <v>776</v>
      </c>
      <c r="I28" s="5" t="s">
        <v>787</v>
      </c>
      <c r="J28" s="5" t="s">
        <v>788</v>
      </c>
    </row>
    <row r="29" spans="1:10" x14ac:dyDescent="0.25">
      <c r="A29" s="2" t="s">
        <v>881</v>
      </c>
      <c r="B29" s="3">
        <v>70</v>
      </c>
      <c r="C29" s="4">
        <v>8.0645161290322606E-2</v>
      </c>
      <c r="D29" s="4">
        <v>0</v>
      </c>
      <c r="E29" s="4">
        <v>0</v>
      </c>
      <c r="F29" s="4">
        <v>0.14516129032258099</v>
      </c>
      <c r="G29" s="4">
        <v>0.11111111111111099</v>
      </c>
      <c r="H29" s="5" t="s">
        <v>776</v>
      </c>
      <c r="I29" s="5" t="s">
        <v>787</v>
      </c>
      <c r="J29" s="5" t="s">
        <v>788</v>
      </c>
    </row>
    <row r="30" spans="1:10" x14ac:dyDescent="0.25">
      <c r="A30" s="2" t="s">
        <v>882</v>
      </c>
      <c r="B30" s="3">
        <v>69</v>
      </c>
      <c r="C30" s="4">
        <v>0.138461538461538</v>
      </c>
      <c r="D30" s="4">
        <v>0</v>
      </c>
      <c r="E30" s="4">
        <v>1.49253731343284E-2</v>
      </c>
      <c r="F30" s="4">
        <v>0.21538461538461501</v>
      </c>
      <c r="G30" s="4">
        <v>0</v>
      </c>
      <c r="H30" s="5" t="s">
        <v>776</v>
      </c>
      <c r="I30" s="5" t="s">
        <v>789</v>
      </c>
      <c r="J30" s="5" t="s">
        <v>769</v>
      </c>
    </row>
    <row r="31" spans="1:10" x14ac:dyDescent="0.25">
      <c r="A31" s="2" t="s">
        <v>883</v>
      </c>
      <c r="B31" s="3">
        <v>68</v>
      </c>
      <c r="C31" s="4">
        <v>0.138461538461538</v>
      </c>
      <c r="D31" s="4">
        <v>0</v>
      </c>
      <c r="E31" s="4">
        <v>1.49253731343284E-2</v>
      </c>
      <c r="F31" s="4">
        <v>0.21538461538461501</v>
      </c>
      <c r="G31" s="4">
        <v>0</v>
      </c>
      <c r="H31" s="5" t="s">
        <v>776</v>
      </c>
      <c r="I31" s="5" t="s">
        <v>789</v>
      </c>
      <c r="J31" s="5" t="s">
        <v>769</v>
      </c>
    </row>
    <row r="32" spans="1:10" x14ac:dyDescent="0.25">
      <c r="A32" s="2" t="s">
        <v>884</v>
      </c>
      <c r="B32" s="3">
        <v>67</v>
      </c>
      <c r="C32" s="4">
        <v>1.7543859649122799E-2</v>
      </c>
      <c r="D32" s="4">
        <v>0</v>
      </c>
      <c r="E32" s="4">
        <v>0</v>
      </c>
      <c r="F32" s="4">
        <v>5.2631578947368397E-2</v>
      </c>
      <c r="G32" s="4">
        <v>0</v>
      </c>
      <c r="H32" s="5" t="s">
        <v>760</v>
      </c>
      <c r="I32" s="5" t="s">
        <v>284</v>
      </c>
      <c r="J32" s="5" t="s">
        <v>762</v>
      </c>
    </row>
    <row r="33" spans="1:10" x14ac:dyDescent="0.25">
      <c r="A33" s="2" t="s">
        <v>885</v>
      </c>
      <c r="B33" s="3">
        <v>66</v>
      </c>
      <c r="C33" s="4">
        <v>1.7543859649122799E-2</v>
      </c>
      <c r="D33" s="4">
        <v>0</v>
      </c>
      <c r="E33" s="4">
        <v>0</v>
      </c>
      <c r="F33" s="4">
        <v>5.2631578947368397E-2</v>
      </c>
      <c r="G33" s="4">
        <v>0</v>
      </c>
      <c r="H33" s="5" t="s">
        <v>760</v>
      </c>
      <c r="I33" s="5" t="s">
        <v>284</v>
      </c>
      <c r="J33" s="5" t="s">
        <v>762</v>
      </c>
    </row>
    <row r="34" spans="1:10" x14ac:dyDescent="0.25">
      <c r="A34" s="2" t="s">
        <v>886</v>
      </c>
      <c r="B34" s="3">
        <v>65</v>
      </c>
      <c r="C34" s="4">
        <v>8.9552238805970102E-2</v>
      </c>
      <c r="D34" s="4">
        <v>0</v>
      </c>
      <c r="E34" s="4">
        <v>1.4705882352941201E-2</v>
      </c>
      <c r="F34" s="4">
        <v>0.119402985074627</v>
      </c>
      <c r="G34" s="4">
        <v>0.125</v>
      </c>
      <c r="H34" s="5" t="s">
        <v>790</v>
      </c>
      <c r="I34" s="5" t="s">
        <v>11</v>
      </c>
      <c r="J34" s="5" t="s">
        <v>791</v>
      </c>
    </row>
    <row r="35" spans="1:10" x14ac:dyDescent="0.25">
      <c r="A35" s="2" t="s">
        <v>887</v>
      </c>
      <c r="B35" s="3">
        <v>64</v>
      </c>
      <c r="C35" s="4">
        <v>8.9552238805970102E-2</v>
      </c>
      <c r="D35" s="4">
        <v>0</v>
      </c>
      <c r="E35" s="4">
        <v>1.4705882352941201E-2</v>
      </c>
      <c r="F35" s="4">
        <v>0.119402985074627</v>
      </c>
      <c r="G35" s="4">
        <v>0.125</v>
      </c>
      <c r="H35" s="5" t="s">
        <v>790</v>
      </c>
      <c r="I35" s="5" t="s">
        <v>11</v>
      </c>
      <c r="J35" s="5" t="s">
        <v>791</v>
      </c>
    </row>
    <row r="36" spans="1:10" x14ac:dyDescent="0.25">
      <c r="A36" s="2" t="s">
        <v>888</v>
      </c>
      <c r="B36" s="3">
        <v>63</v>
      </c>
      <c r="C36" s="4">
        <v>0.140625</v>
      </c>
      <c r="D36" s="4">
        <v>0</v>
      </c>
      <c r="E36" s="4">
        <v>0</v>
      </c>
      <c r="F36" s="4">
        <v>0.171875</v>
      </c>
      <c r="G36" s="4">
        <v>0</v>
      </c>
      <c r="H36" s="5" t="s">
        <v>792</v>
      </c>
      <c r="I36" s="5" t="s">
        <v>11</v>
      </c>
      <c r="J36" s="5" t="s">
        <v>771</v>
      </c>
    </row>
    <row r="37" spans="1:10" x14ac:dyDescent="0.25">
      <c r="A37" s="2" t="s">
        <v>889</v>
      </c>
      <c r="B37" s="3">
        <v>62</v>
      </c>
      <c r="C37" s="4">
        <v>0.140625</v>
      </c>
      <c r="D37" s="4">
        <v>0</v>
      </c>
      <c r="E37" s="4">
        <v>0</v>
      </c>
      <c r="F37" s="4">
        <v>0.171875</v>
      </c>
      <c r="G37" s="4">
        <v>0</v>
      </c>
      <c r="H37" s="5" t="s">
        <v>792</v>
      </c>
      <c r="I37" s="5" t="s">
        <v>11</v>
      </c>
      <c r="J37" s="5" t="s">
        <v>771</v>
      </c>
    </row>
    <row r="38" spans="1:10" x14ac:dyDescent="0.25">
      <c r="A38" s="2" t="s">
        <v>890</v>
      </c>
      <c r="B38" s="3">
        <v>61</v>
      </c>
      <c r="C38" s="4">
        <v>0.10344827586206901</v>
      </c>
      <c r="D38" s="4">
        <v>0</v>
      </c>
      <c r="E38" s="4">
        <v>0</v>
      </c>
      <c r="F38" s="4">
        <v>0.24137931034482701</v>
      </c>
      <c r="G38" s="4">
        <v>0</v>
      </c>
      <c r="H38" s="5" t="s">
        <v>793</v>
      </c>
      <c r="I38" s="5" t="s">
        <v>794</v>
      </c>
      <c r="J38" s="5" t="s">
        <v>786</v>
      </c>
    </row>
    <row r="39" spans="1:10" x14ac:dyDescent="0.25">
      <c r="A39" s="2" t="s">
        <v>891</v>
      </c>
      <c r="B39" s="3">
        <v>60</v>
      </c>
      <c r="C39" s="4">
        <v>0.10344827586206901</v>
      </c>
      <c r="D39" s="4">
        <v>0</v>
      </c>
      <c r="E39" s="4">
        <v>0</v>
      </c>
      <c r="F39" s="4">
        <v>0.24137931034482701</v>
      </c>
      <c r="G39" s="4">
        <v>0</v>
      </c>
      <c r="H39" s="5" t="s">
        <v>793</v>
      </c>
      <c r="I39" s="5" t="s">
        <v>794</v>
      </c>
      <c r="J39" s="5" t="s">
        <v>786</v>
      </c>
    </row>
    <row r="40" spans="1:10" x14ac:dyDescent="0.25">
      <c r="A40" s="2" t="s">
        <v>892</v>
      </c>
      <c r="B40" s="3">
        <v>59</v>
      </c>
      <c r="C40" s="4">
        <v>7.3529411764705899E-2</v>
      </c>
      <c r="D40" s="4">
        <v>0</v>
      </c>
      <c r="E40" s="4">
        <v>0</v>
      </c>
      <c r="F40" s="4">
        <v>0.11764705882352899</v>
      </c>
      <c r="G40" s="4">
        <v>0</v>
      </c>
      <c r="H40" s="5" t="s">
        <v>795</v>
      </c>
      <c r="I40" s="5" t="s">
        <v>764</v>
      </c>
      <c r="J40" s="5" t="s">
        <v>796</v>
      </c>
    </row>
    <row r="41" spans="1:10" x14ac:dyDescent="0.25">
      <c r="A41" s="2" t="s">
        <v>893</v>
      </c>
      <c r="B41" s="3">
        <v>58</v>
      </c>
      <c r="C41" s="4">
        <v>7.3529411764705899E-2</v>
      </c>
      <c r="D41" s="4">
        <v>0</v>
      </c>
      <c r="E41" s="4">
        <v>0</v>
      </c>
      <c r="F41" s="4">
        <v>0.11764705882352899</v>
      </c>
      <c r="G41" s="4">
        <v>0</v>
      </c>
      <c r="H41" s="5" t="s">
        <v>795</v>
      </c>
      <c r="I41" s="5" t="s">
        <v>764</v>
      </c>
      <c r="J41" s="5" t="s">
        <v>796</v>
      </c>
    </row>
    <row r="42" spans="1:10" x14ac:dyDescent="0.25">
      <c r="A42" s="2" t="s">
        <v>894</v>
      </c>
      <c r="B42" s="3">
        <v>57</v>
      </c>
      <c r="C42" s="4">
        <v>4.91803278688525E-2</v>
      </c>
      <c r="D42" s="4">
        <v>0</v>
      </c>
      <c r="E42" s="4">
        <v>0</v>
      </c>
      <c r="F42" s="4">
        <v>9.8360655737704902E-2</v>
      </c>
      <c r="G42" s="4">
        <v>0</v>
      </c>
      <c r="H42" s="5" t="s">
        <v>797</v>
      </c>
      <c r="I42" s="5" t="s">
        <v>11</v>
      </c>
      <c r="J42" s="5" t="s">
        <v>777</v>
      </c>
    </row>
    <row r="43" spans="1:10" x14ac:dyDescent="0.25">
      <c r="A43" s="2" t="s">
        <v>895</v>
      </c>
      <c r="B43" s="3">
        <v>56</v>
      </c>
      <c r="C43" s="4">
        <v>4.91803278688525E-2</v>
      </c>
      <c r="D43" s="4">
        <v>0</v>
      </c>
      <c r="E43" s="4">
        <v>0</v>
      </c>
      <c r="F43" s="4">
        <v>9.8360655737704902E-2</v>
      </c>
      <c r="G43" s="4">
        <v>0</v>
      </c>
      <c r="H43" s="5" t="s">
        <v>797</v>
      </c>
      <c r="I43" s="5" t="s">
        <v>11</v>
      </c>
      <c r="J43" s="5" t="s">
        <v>777</v>
      </c>
    </row>
    <row r="44" spans="1:10" x14ac:dyDescent="0.25">
      <c r="A44" s="2" t="s">
        <v>896</v>
      </c>
      <c r="B44" s="3">
        <v>55</v>
      </c>
      <c r="C44" s="4">
        <v>1.5625E-2</v>
      </c>
      <c r="D44" s="4">
        <v>0</v>
      </c>
      <c r="E44" s="4">
        <v>0</v>
      </c>
      <c r="F44" s="4">
        <v>1.5625E-2</v>
      </c>
      <c r="G44" s="4">
        <v>0</v>
      </c>
      <c r="H44" s="5" t="s">
        <v>798</v>
      </c>
      <c r="I44" s="5" t="s">
        <v>771</v>
      </c>
      <c r="J44" s="5" t="s">
        <v>796</v>
      </c>
    </row>
    <row r="45" spans="1:10" x14ac:dyDescent="0.25">
      <c r="A45" s="2" t="s">
        <v>897</v>
      </c>
      <c r="B45" s="3">
        <v>54</v>
      </c>
      <c r="C45" s="4">
        <v>1.5625E-2</v>
      </c>
      <c r="D45" s="4">
        <v>0</v>
      </c>
      <c r="E45" s="4">
        <v>0</v>
      </c>
      <c r="F45" s="4">
        <v>1.5625E-2</v>
      </c>
      <c r="G45" s="4">
        <v>0</v>
      </c>
      <c r="H45" s="5" t="s">
        <v>798</v>
      </c>
      <c r="I45" s="5" t="s">
        <v>771</v>
      </c>
      <c r="J45" s="5" t="s">
        <v>796</v>
      </c>
    </row>
    <row r="46" spans="1:10" x14ac:dyDescent="0.25">
      <c r="A46" s="2" t="s">
        <v>898</v>
      </c>
      <c r="B46" s="3">
        <v>53</v>
      </c>
      <c r="C46" s="4">
        <v>3.5714285714285698E-2</v>
      </c>
      <c r="D46" s="4">
        <v>0</v>
      </c>
      <c r="E46" s="4">
        <v>0</v>
      </c>
      <c r="F46" s="4">
        <v>5.3571428571428603E-2</v>
      </c>
      <c r="G46" s="4">
        <v>0</v>
      </c>
      <c r="H46" s="5" t="s">
        <v>799</v>
      </c>
      <c r="I46" s="5" t="s">
        <v>800</v>
      </c>
      <c r="J46" s="5" t="s">
        <v>801</v>
      </c>
    </row>
    <row r="47" spans="1:10" x14ac:dyDescent="0.25">
      <c r="A47" s="2" t="s">
        <v>899</v>
      </c>
      <c r="B47" s="3">
        <v>52</v>
      </c>
      <c r="C47" s="4">
        <v>3.5714285714285698E-2</v>
      </c>
      <c r="D47" s="4">
        <v>0</v>
      </c>
      <c r="E47" s="4">
        <v>0</v>
      </c>
      <c r="F47" s="4">
        <v>5.3571428571428603E-2</v>
      </c>
      <c r="G47" s="4">
        <v>0</v>
      </c>
      <c r="H47" s="5" t="s">
        <v>799</v>
      </c>
      <c r="I47" s="5" t="s">
        <v>800</v>
      </c>
      <c r="J47" s="5" t="s">
        <v>801</v>
      </c>
    </row>
    <row r="48" spans="1:10" x14ac:dyDescent="0.25">
      <c r="A48" s="2" t="s">
        <v>900</v>
      </c>
      <c r="B48" s="3">
        <v>51</v>
      </c>
      <c r="C48" s="4">
        <v>3.4482758620689703E-2</v>
      </c>
      <c r="D48" s="4">
        <v>0</v>
      </c>
      <c r="E48" s="4">
        <v>0</v>
      </c>
      <c r="F48" s="4">
        <v>0.10344827586206901</v>
      </c>
      <c r="G48" s="4">
        <v>0.16666666666666699</v>
      </c>
      <c r="H48" s="5" t="s">
        <v>802</v>
      </c>
      <c r="I48" s="5" t="s">
        <v>791</v>
      </c>
      <c r="J48" s="5" t="s">
        <v>772</v>
      </c>
    </row>
    <row r="49" spans="1:10" x14ac:dyDescent="0.25">
      <c r="A49" s="2" t="s">
        <v>901</v>
      </c>
      <c r="B49" s="3">
        <v>50</v>
      </c>
      <c r="C49" s="4">
        <v>3.4482758620689703E-2</v>
      </c>
      <c r="D49" s="4">
        <v>0</v>
      </c>
      <c r="E49" s="4">
        <v>0</v>
      </c>
      <c r="F49" s="4">
        <v>0.10344827586206901</v>
      </c>
      <c r="G49" s="4">
        <v>0.16666666666666699</v>
      </c>
      <c r="H49" s="5" t="s">
        <v>802</v>
      </c>
      <c r="I49" s="5" t="s">
        <v>791</v>
      </c>
      <c r="J49" s="5" t="s">
        <v>772</v>
      </c>
    </row>
    <row r="50" spans="1:10" x14ac:dyDescent="0.25">
      <c r="A50" s="2" t="s">
        <v>902</v>
      </c>
      <c r="B50" s="3">
        <v>49</v>
      </c>
      <c r="C50" s="4">
        <v>4.3478260869565202E-2</v>
      </c>
      <c r="D50" s="4">
        <v>0</v>
      </c>
      <c r="E50" s="4">
        <v>5.4794520547945202E-2</v>
      </c>
      <c r="F50" s="4">
        <v>7.2463768115942004E-2</v>
      </c>
      <c r="G50" s="4">
        <v>0.2</v>
      </c>
      <c r="H50" s="5" t="s">
        <v>803</v>
      </c>
      <c r="I50" s="5" t="s">
        <v>804</v>
      </c>
      <c r="J50" s="5" t="s">
        <v>805</v>
      </c>
    </row>
    <row r="51" spans="1:10" x14ac:dyDescent="0.25">
      <c r="A51" s="2" t="s">
        <v>903</v>
      </c>
      <c r="B51" s="3">
        <v>48</v>
      </c>
      <c r="C51" s="4">
        <v>4.3478260869565202E-2</v>
      </c>
      <c r="D51" s="4">
        <v>0</v>
      </c>
      <c r="E51" s="4">
        <v>5.4794520547945202E-2</v>
      </c>
      <c r="F51" s="4">
        <v>7.2463768115942004E-2</v>
      </c>
      <c r="G51" s="4">
        <v>0.2</v>
      </c>
      <c r="H51" s="5" t="s">
        <v>803</v>
      </c>
      <c r="I51" s="5" t="s">
        <v>804</v>
      </c>
      <c r="J51" s="5" t="s">
        <v>805</v>
      </c>
    </row>
    <row r="52" spans="1:10" x14ac:dyDescent="0.25">
      <c r="A52" s="2" t="s">
        <v>904</v>
      </c>
      <c r="B52" s="3">
        <v>47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5" t="s">
        <v>806</v>
      </c>
      <c r="I52" s="5"/>
      <c r="J52" s="5" t="s">
        <v>807</v>
      </c>
    </row>
    <row r="53" spans="1:10" x14ac:dyDescent="0.25">
      <c r="A53" s="2" t="s">
        <v>905</v>
      </c>
      <c r="B53" s="3">
        <v>46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5" t="s">
        <v>806</v>
      </c>
      <c r="I53" s="5"/>
      <c r="J53" s="5" t="s">
        <v>807</v>
      </c>
    </row>
    <row r="54" spans="1:10" x14ac:dyDescent="0.25">
      <c r="A54" s="2" t="s">
        <v>906</v>
      </c>
      <c r="B54" s="3">
        <v>45</v>
      </c>
      <c r="C54" s="4">
        <v>0.11111111111111099</v>
      </c>
      <c r="D54" s="4">
        <v>0</v>
      </c>
      <c r="E54" s="4">
        <v>0</v>
      </c>
      <c r="F54" s="4">
        <v>0.22222222222222199</v>
      </c>
      <c r="G54" s="4">
        <v>0</v>
      </c>
      <c r="H54" s="5" t="s">
        <v>773</v>
      </c>
      <c r="I54" s="5" t="s">
        <v>785</v>
      </c>
      <c r="J54" s="5" t="s">
        <v>777</v>
      </c>
    </row>
    <row r="55" spans="1:10" x14ac:dyDescent="0.25">
      <c r="A55" s="2" t="s">
        <v>907</v>
      </c>
      <c r="B55" s="3">
        <v>44</v>
      </c>
      <c r="C55" s="4">
        <v>0.11111111111111099</v>
      </c>
      <c r="D55" s="4">
        <v>0</v>
      </c>
      <c r="E55" s="4">
        <v>0</v>
      </c>
      <c r="F55" s="4">
        <v>0.22222222222222199</v>
      </c>
      <c r="G55" s="4">
        <v>0</v>
      </c>
      <c r="H55" s="5" t="s">
        <v>773</v>
      </c>
      <c r="I55" s="5" t="s">
        <v>785</v>
      </c>
      <c r="J55" s="5" t="s">
        <v>777</v>
      </c>
    </row>
    <row r="56" spans="1:10" x14ac:dyDescent="0.25">
      <c r="A56" s="2" t="s">
        <v>908</v>
      </c>
      <c r="B56" s="3">
        <v>43</v>
      </c>
      <c r="C56" s="4">
        <v>0.14492753623188401</v>
      </c>
      <c r="D56" s="4">
        <v>0</v>
      </c>
      <c r="E56" s="4">
        <v>0</v>
      </c>
      <c r="F56" s="4">
        <v>0.202898550724638</v>
      </c>
      <c r="G56" s="4">
        <v>7.1428571428571397E-2</v>
      </c>
      <c r="H56" s="5" t="s">
        <v>799</v>
      </c>
      <c r="I56" s="5" t="s">
        <v>808</v>
      </c>
      <c r="J56" s="5" t="s">
        <v>809</v>
      </c>
    </row>
    <row r="57" spans="1:10" x14ac:dyDescent="0.25">
      <c r="A57" s="2" t="s">
        <v>909</v>
      </c>
      <c r="B57" s="3">
        <v>42</v>
      </c>
      <c r="C57" s="4">
        <v>0.14492753623188401</v>
      </c>
      <c r="D57" s="4">
        <v>0</v>
      </c>
      <c r="E57" s="4">
        <v>0</v>
      </c>
      <c r="F57" s="4">
        <v>0.202898550724638</v>
      </c>
      <c r="G57" s="4">
        <v>7.1428571428571397E-2</v>
      </c>
      <c r="H57" s="5" t="s">
        <v>799</v>
      </c>
      <c r="I57" s="5" t="s">
        <v>808</v>
      </c>
      <c r="J57" s="5" t="s">
        <v>809</v>
      </c>
    </row>
    <row r="58" spans="1:10" x14ac:dyDescent="0.25">
      <c r="A58" s="2" t="s">
        <v>910</v>
      </c>
      <c r="B58" s="3">
        <v>41</v>
      </c>
      <c r="C58" s="4">
        <v>6.7796610169491497E-2</v>
      </c>
      <c r="D58" s="4">
        <v>0</v>
      </c>
      <c r="E58" s="4">
        <v>0</v>
      </c>
      <c r="F58" s="4">
        <v>0.11864406779661001</v>
      </c>
      <c r="G58" s="4">
        <v>0</v>
      </c>
      <c r="H58" s="5" t="s">
        <v>810</v>
      </c>
      <c r="I58" s="5" t="s">
        <v>811</v>
      </c>
      <c r="J58" s="5" t="s">
        <v>775</v>
      </c>
    </row>
    <row r="59" spans="1:10" x14ac:dyDescent="0.25">
      <c r="A59" s="2" t="s">
        <v>911</v>
      </c>
      <c r="B59" s="3">
        <v>40</v>
      </c>
      <c r="C59" s="4">
        <v>6.7796610169491497E-2</v>
      </c>
      <c r="D59" s="4">
        <v>0</v>
      </c>
      <c r="E59" s="4">
        <v>0</v>
      </c>
      <c r="F59" s="4">
        <v>0.11864406779661001</v>
      </c>
      <c r="G59" s="4">
        <v>0</v>
      </c>
      <c r="H59" s="5" t="s">
        <v>810</v>
      </c>
      <c r="I59" s="5" t="s">
        <v>811</v>
      </c>
      <c r="J59" s="5" t="s">
        <v>775</v>
      </c>
    </row>
    <row r="60" spans="1:10" x14ac:dyDescent="0.25">
      <c r="A60" s="2" t="s">
        <v>912</v>
      </c>
      <c r="B60" s="3">
        <v>39</v>
      </c>
      <c r="C60" s="4">
        <v>2.6315789473684199E-2</v>
      </c>
      <c r="D60" s="4">
        <v>0</v>
      </c>
      <c r="E60" s="4">
        <v>4.9382716049382699E-2</v>
      </c>
      <c r="F60" s="4">
        <v>7.8947368421052599E-2</v>
      </c>
      <c r="G60" s="4">
        <v>0.16666666666666699</v>
      </c>
      <c r="H60" s="5" t="s">
        <v>812</v>
      </c>
      <c r="I60" s="5" t="s">
        <v>813</v>
      </c>
      <c r="J60" s="5" t="s">
        <v>805</v>
      </c>
    </row>
    <row r="61" spans="1:10" x14ac:dyDescent="0.25">
      <c r="A61" s="2" t="s">
        <v>913</v>
      </c>
      <c r="B61" s="3">
        <v>38</v>
      </c>
      <c r="C61" s="4">
        <v>2.6315789473684199E-2</v>
      </c>
      <c r="D61" s="4">
        <v>0</v>
      </c>
      <c r="E61" s="4">
        <v>4.9382716049382699E-2</v>
      </c>
      <c r="F61" s="4">
        <v>7.8947368421052599E-2</v>
      </c>
      <c r="G61" s="4">
        <v>0.16666666666666699</v>
      </c>
      <c r="H61" s="5" t="s">
        <v>812</v>
      </c>
      <c r="I61" s="5" t="s">
        <v>813</v>
      </c>
      <c r="J61" s="5" t="s">
        <v>805</v>
      </c>
    </row>
    <row r="62" spans="1:10" x14ac:dyDescent="0.25">
      <c r="A62" s="2" t="s">
        <v>914</v>
      </c>
      <c r="B62" s="3">
        <v>37</v>
      </c>
      <c r="C62" s="4">
        <v>3.7974683544303799E-2</v>
      </c>
      <c r="D62" s="4">
        <v>0</v>
      </c>
      <c r="E62" s="4">
        <v>0</v>
      </c>
      <c r="F62" s="4">
        <v>7.5949367088607597E-2</v>
      </c>
      <c r="G62" s="4">
        <v>0.16666666666666699</v>
      </c>
      <c r="H62" s="5" t="s">
        <v>814</v>
      </c>
      <c r="I62" s="5" t="s">
        <v>808</v>
      </c>
      <c r="J62" s="5" t="s">
        <v>785</v>
      </c>
    </row>
    <row r="63" spans="1:10" x14ac:dyDescent="0.25">
      <c r="A63" s="2" t="s">
        <v>915</v>
      </c>
      <c r="B63" s="3">
        <v>36</v>
      </c>
      <c r="C63" s="4">
        <v>3.7974683544303799E-2</v>
      </c>
      <c r="D63" s="4">
        <v>0</v>
      </c>
      <c r="E63" s="4">
        <v>0</v>
      </c>
      <c r="F63" s="4">
        <v>7.5949367088607597E-2</v>
      </c>
      <c r="G63" s="4">
        <v>0.16666666666666699</v>
      </c>
      <c r="H63" s="5" t="s">
        <v>814</v>
      </c>
      <c r="I63" s="5" t="s">
        <v>808</v>
      </c>
      <c r="J63" s="5" t="s">
        <v>785</v>
      </c>
    </row>
    <row r="64" spans="1:10" x14ac:dyDescent="0.25">
      <c r="A64" s="2" t="s">
        <v>916</v>
      </c>
      <c r="B64" s="3">
        <v>35</v>
      </c>
      <c r="C64" s="4">
        <v>8.7719298245614002E-2</v>
      </c>
      <c r="D64" s="4">
        <v>0</v>
      </c>
      <c r="E64" s="4">
        <v>0</v>
      </c>
      <c r="F64" s="4">
        <v>0.105263157894737</v>
      </c>
      <c r="G64" s="4">
        <v>0</v>
      </c>
      <c r="H64" s="5" t="s">
        <v>815</v>
      </c>
      <c r="I64" s="5" t="s">
        <v>808</v>
      </c>
      <c r="J64" s="5" t="s">
        <v>816</v>
      </c>
    </row>
    <row r="65" spans="1:10" x14ac:dyDescent="0.25">
      <c r="A65" s="2" t="s">
        <v>917</v>
      </c>
      <c r="B65" s="3">
        <v>34</v>
      </c>
      <c r="C65" s="4">
        <v>8.7719298245614002E-2</v>
      </c>
      <c r="D65" s="4">
        <v>0</v>
      </c>
      <c r="E65" s="4">
        <v>0</v>
      </c>
      <c r="F65" s="4">
        <v>0.105263157894737</v>
      </c>
      <c r="G65" s="4">
        <v>0</v>
      </c>
      <c r="H65" s="5" t="s">
        <v>815</v>
      </c>
      <c r="I65" s="5" t="s">
        <v>808</v>
      </c>
      <c r="J65" s="5" t="s">
        <v>816</v>
      </c>
    </row>
    <row r="66" spans="1:10" x14ac:dyDescent="0.25">
      <c r="A66" s="2" t="s">
        <v>918</v>
      </c>
      <c r="B66" s="3">
        <v>33</v>
      </c>
      <c r="C66" s="4">
        <v>0.107692307692308</v>
      </c>
      <c r="D66" s="4">
        <v>0</v>
      </c>
      <c r="E66" s="4">
        <v>0</v>
      </c>
      <c r="F66" s="4">
        <v>0.16923076923076899</v>
      </c>
      <c r="G66" s="4">
        <v>0</v>
      </c>
      <c r="H66" s="5" t="s">
        <v>817</v>
      </c>
      <c r="I66" s="5" t="s">
        <v>771</v>
      </c>
      <c r="J66" s="5" t="s">
        <v>772</v>
      </c>
    </row>
    <row r="67" spans="1:10" x14ac:dyDescent="0.25">
      <c r="A67" s="2" t="s">
        <v>919</v>
      </c>
      <c r="B67" s="3">
        <v>32</v>
      </c>
      <c r="C67" s="4">
        <v>0.107692307692308</v>
      </c>
      <c r="D67" s="4">
        <v>0</v>
      </c>
      <c r="E67" s="4">
        <v>0</v>
      </c>
      <c r="F67" s="4">
        <v>0.16923076923076899</v>
      </c>
      <c r="G67" s="4">
        <v>0</v>
      </c>
      <c r="H67" s="5" t="s">
        <v>817</v>
      </c>
      <c r="I67" s="5" t="s">
        <v>771</v>
      </c>
      <c r="J67" s="5" t="s">
        <v>772</v>
      </c>
    </row>
    <row r="68" spans="1:10" x14ac:dyDescent="0.25">
      <c r="A68" s="2" t="s">
        <v>920</v>
      </c>
      <c r="B68" s="3">
        <v>31</v>
      </c>
      <c r="C68" s="4">
        <v>7.3529411764705899E-2</v>
      </c>
      <c r="D68" s="4">
        <v>0</v>
      </c>
      <c r="E68" s="4">
        <v>0</v>
      </c>
      <c r="F68" s="4">
        <v>0.13235294117647001</v>
      </c>
      <c r="G68" s="4">
        <v>0</v>
      </c>
      <c r="H68" s="5" t="s">
        <v>818</v>
      </c>
      <c r="I68" s="5" t="s">
        <v>11</v>
      </c>
      <c r="J68" s="5" t="s">
        <v>762</v>
      </c>
    </row>
    <row r="69" spans="1:10" x14ac:dyDescent="0.25">
      <c r="A69" s="2" t="s">
        <v>921</v>
      </c>
      <c r="B69" s="3">
        <v>30</v>
      </c>
      <c r="C69" s="4">
        <v>7.3529411764705899E-2</v>
      </c>
      <c r="D69" s="4">
        <v>0</v>
      </c>
      <c r="E69" s="4">
        <v>0</v>
      </c>
      <c r="F69" s="4">
        <v>0.13235294117647001</v>
      </c>
      <c r="G69" s="4">
        <v>0</v>
      </c>
      <c r="H69" s="5" t="s">
        <v>818</v>
      </c>
      <c r="I69" s="5" t="s">
        <v>11</v>
      </c>
      <c r="J69" s="5" t="s">
        <v>762</v>
      </c>
    </row>
    <row r="70" spans="1:10" x14ac:dyDescent="0.25">
      <c r="A70" s="2" t="s">
        <v>922</v>
      </c>
      <c r="B70" s="3">
        <v>29</v>
      </c>
      <c r="C70" s="4">
        <v>0.05</v>
      </c>
      <c r="D70" s="4">
        <v>0</v>
      </c>
      <c r="E70" s="4">
        <v>0</v>
      </c>
      <c r="F70" s="4">
        <v>0.1</v>
      </c>
      <c r="G70" s="4">
        <v>0</v>
      </c>
      <c r="H70" s="5" t="s">
        <v>780</v>
      </c>
      <c r="I70" s="5" t="s">
        <v>761</v>
      </c>
      <c r="J70" s="5" t="s">
        <v>764</v>
      </c>
    </row>
    <row r="71" spans="1:10" x14ac:dyDescent="0.25">
      <c r="A71" s="2" t="s">
        <v>923</v>
      </c>
      <c r="B71" s="3">
        <v>28</v>
      </c>
      <c r="C71" s="4">
        <v>0.05</v>
      </c>
      <c r="D71" s="4">
        <v>0</v>
      </c>
      <c r="E71" s="4">
        <v>0</v>
      </c>
      <c r="F71" s="4">
        <v>0.1</v>
      </c>
      <c r="G71" s="4">
        <v>0</v>
      </c>
      <c r="H71" s="5" t="s">
        <v>780</v>
      </c>
      <c r="I71" s="5" t="s">
        <v>761</v>
      </c>
      <c r="J71" s="5" t="s">
        <v>764</v>
      </c>
    </row>
    <row r="72" spans="1:10" x14ac:dyDescent="0.25">
      <c r="A72" s="2" t="s">
        <v>924</v>
      </c>
      <c r="B72" s="3">
        <v>29</v>
      </c>
      <c r="C72" s="4">
        <v>7.1428571428571397E-2</v>
      </c>
      <c r="D72" s="4">
        <v>0</v>
      </c>
      <c r="E72" s="4">
        <v>0</v>
      </c>
      <c r="F72" s="4">
        <v>8.9285714285714302E-2</v>
      </c>
      <c r="G72" s="4">
        <v>0</v>
      </c>
      <c r="H72" s="5" t="s">
        <v>763</v>
      </c>
      <c r="I72" s="5" t="s">
        <v>771</v>
      </c>
      <c r="J72" s="5" t="s">
        <v>764</v>
      </c>
    </row>
    <row r="73" spans="1:10" x14ac:dyDescent="0.25">
      <c r="A73" s="2" t="s">
        <v>925</v>
      </c>
      <c r="B73" s="3">
        <v>30</v>
      </c>
      <c r="C73" s="4">
        <v>7.1428571428571397E-2</v>
      </c>
      <c r="D73" s="4">
        <v>0</v>
      </c>
      <c r="E73" s="4">
        <v>0</v>
      </c>
      <c r="F73" s="4">
        <v>8.9285714285714302E-2</v>
      </c>
      <c r="G73" s="4">
        <v>0</v>
      </c>
      <c r="H73" s="5" t="s">
        <v>763</v>
      </c>
      <c r="I73" s="5" t="s">
        <v>771</v>
      </c>
      <c r="J73" s="5" t="s">
        <v>764</v>
      </c>
    </row>
    <row r="74" spans="1:10" x14ac:dyDescent="0.25">
      <c r="A74" s="2" t="s">
        <v>926</v>
      </c>
      <c r="B74" s="3">
        <v>31</v>
      </c>
      <c r="C74" s="4">
        <v>7.69230769230769E-2</v>
      </c>
      <c r="D74" s="4">
        <v>0</v>
      </c>
      <c r="E74" s="4">
        <v>0</v>
      </c>
      <c r="F74" s="4">
        <v>7.69230769230769E-2</v>
      </c>
      <c r="G74" s="4">
        <v>0</v>
      </c>
      <c r="H74" s="5" t="s">
        <v>819</v>
      </c>
      <c r="I74" s="5" t="s">
        <v>11</v>
      </c>
      <c r="J74" s="5" t="s">
        <v>762</v>
      </c>
    </row>
    <row r="75" spans="1:10" x14ac:dyDescent="0.25">
      <c r="A75" s="2" t="s">
        <v>927</v>
      </c>
      <c r="B75" s="3">
        <v>32</v>
      </c>
      <c r="C75" s="4">
        <v>7.69230769230769E-2</v>
      </c>
      <c r="D75" s="4">
        <v>0</v>
      </c>
      <c r="E75" s="4">
        <v>0</v>
      </c>
      <c r="F75" s="4">
        <v>7.69230769230769E-2</v>
      </c>
      <c r="G75" s="4">
        <v>0</v>
      </c>
      <c r="H75" s="5" t="s">
        <v>819</v>
      </c>
      <c r="I75" s="5" t="s">
        <v>11</v>
      </c>
      <c r="J75" s="5" t="s">
        <v>762</v>
      </c>
    </row>
    <row r="76" spans="1:10" x14ac:dyDescent="0.25">
      <c r="A76" s="2" t="s">
        <v>928</v>
      </c>
      <c r="B76" s="3">
        <v>33</v>
      </c>
      <c r="C76" s="4">
        <v>5.4054054054054099E-2</v>
      </c>
      <c r="D76" s="4">
        <v>0</v>
      </c>
      <c r="E76" s="4">
        <v>0</v>
      </c>
      <c r="F76" s="4">
        <v>8.1081081081081099E-2</v>
      </c>
      <c r="G76" s="4">
        <v>0</v>
      </c>
      <c r="H76" s="5" t="s">
        <v>820</v>
      </c>
      <c r="I76" s="5" t="s">
        <v>811</v>
      </c>
      <c r="J76" s="5" t="s">
        <v>788</v>
      </c>
    </row>
    <row r="77" spans="1:10" x14ac:dyDescent="0.25">
      <c r="A77" s="2" t="s">
        <v>929</v>
      </c>
      <c r="B77" s="3">
        <v>34</v>
      </c>
      <c r="C77" s="4">
        <v>5.4054054054054099E-2</v>
      </c>
      <c r="D77" s="4">
        <v>0</v>
      </c>
      <c r="E77" s="4">
        <v>0</v>
      </c>
      <c r="F77" s="4">
        <v>8.1081081081081099E-2</v>
      </c>
      <c r="G77" s="4">
        <v>0</v>
      </c>
      <c r="H77" s="5" t="s">
        <v>820</v>
      </c>
      <c r="I77" s="5" t="s">
        <v>811</v>
      </c>
      <c r="J77" s="5" t="s">
        <v>788</v>
      </c>
    </row>
    <row r="78" spans="1:10" x14ac:dyDescent="0.25">
      <c r="A78" s="2" t="s">
        <v>930</v>
      </c>
      <c r="B78" s="3">
        <v>35</v>
      </c>
      <c r="C78" s="4">
        <v>5.63380281690141E-2</v>
      </c>
      <c r="D78" s="4">
        <v>0</v>
      </c>
      <c r="E78" s="4">
        <v>0</v>
      </c>
      <c r="F78" s="4">
        <v>9.85915492957746E-2</v>
      </c>
      <c r="G78" s="4">
        <v>0</v>
      </c>
      <c r="H78" s="5" t="s">
        <v>803</v>
      </c>
      <c r="I78" s="5" t="s">
        <v>11</v>
      </c>
      <c r="J78" s="5" t="s">
        <v>772</v>
      </c>
    </row>
    <row r="79" spans="1:10" x14ac:dyDescent="0.25">
      <c r="A79" s="2" t="s">
        <v>931</v>
      </c>
      <c r="B79" s="3">
        <v>36</v>
      </c>
      <c r="C79" s="4">
        <v>5.63380281690141E-2</v>
      </c>
      <c r="D79" s="4">
        <v>0</v>
      </c>
      <c r="E79" s="4">
        <v>0</v>
      </c>
      <c r="F79" s="4">
        <v>9.85915492957746E-2</v>
      </c>
      <c r="G79" s="4">
        <v>0</v>
      </c>
      <c r="H79" s="5" t="s">
        <v>803</v>
      </c>
      <c r="I79" s="5" t="s">
        <v>11</v>
      </c>
      <c r="J79" s="5" t="s">
        <v>772</v>
      </c>
    </row>
    <row r="80" spans="1:10" x14ac:dyDescent="0.25">
      <c r="A80" s="2" t="s">
        <v>932</v>
      </c>
      <c r="B80" s="3">
        <v>37</v>
      </c>
      <c r="C80" s="4">
        <v>0.13636363636363599</v>
      </c>
      <c r="D80" s="4">
        <v>0</v>
      </c>
      <c r="E80" s="4">
        <v>0</v>
      </c>
      <c r="F80" s="4">
        <v>0.18181818181818199</v>
      </c>
      <c r="G80" s="4">
        <v>8.3333333333333301E-2</v>
      </c>
      <c r="H80" s="5" t="s">
        <v>821</v>
      </c>
      <c r="I80" s="5" t="s">
        <v>771</v>
      </c>
      <c r="J80" s="5" t="s">
        <v>822</v>
      </c>
    </row>
    <row r="81" spans="1:10" x14ac:dyDescent="0.25">
      <c r="A81" s="2" t="s">
        <v>933</v>
      </c>
      <c r="B81" s="3">
        <v>38</v>
      </c>
      <c r="C81" s="4">
        <v>0.13636363636363599</v>
      </c>
      <c r="D81" s="4">
        <v>0</v>
      </c>
      <c r="E81" s="4">
        <v>0</v>
      </c>
      <c r="F81" s="4">
        <v>0.18181818181818199</v>
      </c>
      <c r="G81" s="4">
        <v>8.3333333333333301E-2</v>
      </c>
      <c r="H81" s="5" t="s">
        <v>821</v>
      </c>
      <c r="I81" s="5" t="s">
        <v>771</v>
      </c>
      <c r="J81" s="5" t="s">
        <v>822</v>
      </c>
    </row>
    <row r="82" spans="1:10" x14ac:dyDescent="0.25">
      <c r="A82" s="2" t="s">
        <v>934</v>
      </c>
      <c r="B82" s="3">
        <v>39</v>
      </c>
      <c r="C82" s="4">
        <v>8.8235294117647106E-2</v>
      </c>
      <c r="D82" s="4">
        <v>0</v>
      </c>
      <c r="E82" s="4">
        <v>0</v>
      </c>
      <c r="F82" s="4">
        <v>8.8235294117647106E-2</v>
      </c>
      <c r="G82" s="4">
        <v>0</v>
      </c>
      <c r="H82" s="5" t="s">
        <v>823</v>
      </c>
      <c r="I82" s="5" t="s">
        <v>11</v>
      </c>
      <c r="J82" s="5" t="s">
        <v>764</v>
      </c>
    </row>
    <row r="83" spans="1:10" x14ac:dyDescent="0.25">
      <c r="A83" s="2" t="s">
        <v>935</v>
      </c>
      <c r="B83" s="3">
        <v>40</v>
      </c>
      <c r="C83" s="4">
        <v>8.8235294117647106E-2</v>
      </c>
      <c r="D83" s="4">
        <v>0</v>
      </c>
      <c r="E83" s="4">
        <v>0</v>
      </c>
      <c r="F83" s="4">
        <v>8.8235294117647106E-2</v>
      </c>
      <c r="G83" s="4">
        <v>0</v>
      </c>
      <c r="H83" s="5" t="s">
        <v>823</v>
      </c>
      <c r="I83" s="5" t="s">
        <v>11</v>
      </c>
      <c r="J83" s="5" t="s">
        <v>764</v>
      </c>
    </row>
    <row r="84" spans="1:10" x14ac:dyDescent="0.25">
      <c r="A84" s="2" t="s">
        <v>936</v>
      </c>
      <c r="B84" s="3">
        <v>41</v>
      </c>
      <c r="C84" s="4">
        <v>3.7037037037037E-2</v>
      </c>
      <c r="D84" s="4">
        <v>0</v>
      </c>
      <c r="E84" s="4">
        <v>0</v>
      </c>
      <c r="F84" s="4">
        <v>0.12962962962963001</v>
      </c>
      <c r="G84" s="4">
        <v>0.28571428571428598</v>
      </c>
      <c r="H84" s="5" t="s">
        <v>18</v>
      </c>
      <c r="I84" s="5" t="s">
        <v>824</v>
      </c>
      <c r="J84" s="5" t="s">
        <v>796</v>
      </c>
    </row>
    <row r="85" spans="1:10" x14ac:dyDescent="0.25">
      <c r="A85" s="2" t="s">
        <v>937</v>
      </c>
      <c r="B85" s="3">
        <v>42</v>
      </c>
      <c r="C85" s="4">
        <v>3.7037037037037E-2</v>
      </c>
      <c r="D85" s="4">
        <v>0</v>
      </c>
      <c r="E85" s="4">
        <v>0</v>
      </c>
      <c r="F85" s="4">
        <v>0.12962962962963001</v>
      </c>
      <c r="G85" s="4">
        <v>0.28571428571428598</v>
      </c>
      <c r="H85" s="5" t="s">
        <v>18</v>
      </c>
      <c r="I85" s="5" t="s">
        <v>824</v>
      </c>
      <c r="J85" s="5" t="s">
        <v>796</v>
      </c>
    </row>
    <row r="86" spans="1:10" x14ac:dyDescent="0.25">
      <c r="A86" s="2" t="s">
        <v>938</v>
      </c>
      <c r="B86" s="3">
        <v>43</v>
      </c>
      <c r="C86" s="4">
        <v>4.08163265306122E-2</v>
      </c>
      <c r="D86" s="4">
        <v>0</v>
      </c>
      <c r="E86" s="4">
        <v>0</v>
      </c>
      <c r="F86" s="4">
        <v>6.1224489795918401E-2</v>
      </c>
      <c r="G86" s="4">
        <v>0</v>
      </c>
      <c r="H86" s="5" t="s">
        <v>348</v>
      </c>
      <c r="I86" s="5" t="s">
        <v>761</v>
      </c>
      <c r="J86" s="5" t="s">
        <v>777</v>
      </c>
    </row>
    <row r="87" spans="1:10" x14ac:dyDescent="0.25">
      <c r="A87" s="2" t="s">
        <v>939</v>
      </c>
      <c r="B87" s="3">
        <v>44</v>
      </c>
      <c r="C87" s="4">
        <v>4.08163265306122E-2</v>
      </c>
      <c r="D87" s="4">
        <v>0</v>
      </c>
      <c r="E87" s="4">
        <v>0</v>
      </c>
      <c r="F87" s="4">
        <v>6.1224489795918401E-2</v>
      </c>
      <c r="G87" s="4">
        <v>0</v>
      </c>
      <c r="H87" s="5" t="s">
        <v>348</v>
      </c>
      <c r="I87" s="5" t="s">
        <v>761</v>
      </c>
      <c r="J87" s="5" t="s">
        <v>777</v>
      </c>
    </row>
    <row r="88" spans="1:10" x14ac:dyDescent="0.25">
      <c r="A88" s="2" t="s">
        <v>940</v>
      </c>
      <c r="B88" s="3">
        <v>45</v>
      </c>
      <c r="C88" s="4">
        <v>7.5471698113207503E-2</v>
      </c>
      <c r="D88" s="4">
        <v>0</v>
      </c>
      <c r="E88" s="4">
        <v>0</v>
      </c>
      <c r="F88" s="4">
        <v>0.113207547169811</v>
      </c>
      <c r="G88" s="4">
        <v>0</v>
      </c>
      <c r="H88" s="5" t="s">
        <v>825</v>
      </c>
      <c r="I88" s="5" t="s">
        <v>777</v>
      </c>
      <c r="J88" s="5" t="s">
        <v>785</v>
      </c>
    </row>
    <row r="89" spans="1:10" x14ac:dyDescent="0.25">
      <c r="A89" s="2" t="s">
        <v>941</v>
      </c>
      <c r="B89" s="3">
        <v>46</v>
      </c>
      <c r="C89" s="4">
        <v>7.5471698113207503E-2</v>
      </c>
      <c r="D89" s="4">
        <v>0</v>
      </c>
      <c r="E89" s="4">
        <v>0</v>
      </c>
      <c r="F89" s="4">
        <v>0.113207547169811</v>
      </c>
      <c r="G89" s="4">
        <v>0</v>
      </c>
      <c r="H89" s="5" t="s">
        <v>825</v>
      </c>
      <c r="I89" s="5" t="s">
        <v>777</v>
      </c>
      <c r="J89" s="5" t="s">
        <v>785</v>
      </c>
    </row>
    <row r="90" spans="1:10" x14ac:dyDescent="0.25">
      <c r="A90" s="2" t="s">
        <v>942</v>
      </c>
      <c r="B90" s="3">
        <v>47</v>
      </c>
      <c r="C90" s="4">
        <v>3.0769230769230799E-2</v>
      </c>
      <c r="D90" s="4">
        <v>1.5384615384615399E-2</v>
      </c>
      <c r="E90" s="4">
        <v>0</v>
      </c>
      <c r="F90" s="4">
        <v>7.69230769230769E-2</v>
      </c>
      <c r="G90" s="4">
        <v>0.4</v>
      </c>
      <c r="H90" s="5" t="s">
        <v>818</v>
      </c>
      <c r="I90" s="5" t="s">
        <v>824</v>
      </c>
      <c r="J90" s="5" t="s">
        <v>764</v>
      </c>
    </row>
    <row r="91" spans="1:10" x14ac:dyDescent="0.25">
      <c r="A91" s="2" t="s">
        <v>943</v>
      </c>
      <c r="B91" s="3">
        <v>48</v>
      </c>
      <c r="C91" s="4">
        <v>3.0769230769230799E-2</v>
      </c>
      <c r="D91" s="4">
        <v>1.5384615384615399E-2</v>
      </c>
      <c r="E91" s="4">
        <v>0</v>
      </c>
      <c r="F91" s="4">
        <v>7.69230769230769E-2</v>
      </c>
      <c r="G91" s="4">
        <v>0.4</v>
      </c>
      <c r="H91" s="5" t="s">
        <v>818</v>
      </c>
      <c r="I91" s="5" t="s">
        <v>824</v>
      </c>
      <c r="J91" s="5" t="s">
        <v>764</v>
      </c>
    </row>
    <row r="92" spans="1:10" x14ac:dyDescent="0.25">
      <c r="A92" s="2" t="s">
        <v>944</v>
      </c>
      <c r="B92" s="3">
        <v>49</v>
      </c>
      <c r="C92" s="4">
        <v>6.7796610169491497E-2</v>
      </c>
      <c r="D92" s="4">
        <v>0</v>
      </c>
      <c r="E92" s="4">
        <v>0</v>
      </c>
      <c r="F92" s="4">
        <v>0.101694915254237</v>
      </c>
      <c r="G92" s="4">
        <v>0</v>
      </c>
      <c r="H92" s="5" t="s">
        <v>763</v>
      </c>
      <c r="I92" s="5" t="s">
        <v>809</v>
      </c>
      <c r="J92" s="5" t="s">
        <v>777</v>
      </c>
    </row>
    <row r="93" spans="1:10" x14ac:dyDescent="0.25">
      <c r="A93" s="2" t="s">
        <v>945</v>
      </c>
      <c r="B93" s="3">
        <v>50</v>
      </c>
      <c r="C93" s="4">
        <v>6.7796610169491497E-2</v>
      </c>
      <c r="D93" s="4">
        <v>0</v>
      </c>
      <c r="E93" s="4">
        <v>0</v>
      </c>
      <c r="F93" s="4">
        <v>0.101694915254237</v>
      </c>
      <c r="G93" s="4">
        <v>0</v>
      </c>
      <c r="H93" s="5" t="s">
        <v>763</v>
      </c>
      <c r="I93" s="5" t="s">
        <v>809</v>
      </c>
      <c r="J93" s="5" t="s">
        <v>777</v>
      </c>
    </row>
    <row r="94" spans="1:10" x14ac:dyDescent="0.25">
      <c r="A94" s="2" t="s">
        <v>946</v>
      </c>
      <c r="B94" s="3">
        <v>51</v>
      </c>
      <c r="C94" s="4">
        <v>6.0606060606060601E-2</v>
      </c>
      <c r="D94" s="4">
        <v>0</v>
      </c>
      <c r="E94" s="4">
        <v>0</v>
      </c>
      <c r="F94" s="4">
        <v>0.10606060606060599</v>
      </c>
      <c r="G94" s="4">
        <v>0</v>
      </c>
      <c r="H94" s="5" t="s">
        <v>760</v>
      </c>
      <c r="I94" s="5" t="s">
        <v>826</v>
      </c>
      <c r="J94" s="5" t="s">
        <v>805</v>
      </c>
    </row>
    <row r="95" spans="1:10" x14ac:dyDescent="0.25">
      <c r="A95" s="2" t="s">
        <v>947</v>
      </c>
      <c r="B95" s="3">
        <v>52</v>
      </c>
      <c r="C95" s="4">
        <v>6.0606060606060601E-2</v>
      </c>
      <c r="D95" s="4">
        <v>0</v>
      </c>
      <c r="E95" s="4">
        <v>0</v>
      </c>
      <c r="F95" s="4">
        <v>0.10606060606060599</v>
      </c>
      <c r="G95" s="4">
        <v>0</v>
      </c>
      <c r="H95" s="5" t="s">
        <v>760</v>
      </c>
      <c r="I95" s="5" t="s">
        <v>826</v>
      </c>
      <c r="J95" s="5" t="s">
        <v>805</v>
      </c>
    </row>
    <row r="96" spans="1:10" x14ac:dyDescent="0.25">
      <c r="A96" s="2" t="s">
        <v>948</v>
      </c>
      <c r="B96" s="3">
        <v>53</v>
      </c>
      <c r="C96" s="4">
        <v>5.9701492537313397E-2</v>
      </c>
      <c r="D96" s="4">
        <v>0</v>
      </c>
      <c r="E96" s="4">
        <v>0</v>
      </c>
      <c r="F96" s="4">
        <v>5.9701492537313397E-2</v>
      </c>
      <c r="G96" s="4">
        <v>0</v>
      </c>
      <c r="H96" s="5" t="s">
        <v>827</v>
      </c>
      <c r="I96" s="5" t="s">
        <v>284</v>
      </c>
      <c r="J96" s="5" t="s">
        <v>777</v>
      </c>
    </row>
    <row r="97" spans="1:10" x14ac:dyDescent="0.25">
      <c r="A97" s="2" t="s">
        <v>949</v>
      </c>
      <c r="B97" s="3">
        <v>54</v>
      </c>
      <c r="C97" s="4">
        <v>5.9701492537313397E-2</v>
      </c>
      <c r="D97" s="4">
        <v>0</v>
      </c>
      <c r="E97" s="4">
        <v>0</v>
      </c>
      <c r="F97" s="4">
        <v>5.9701492537313397E-2</v>
      </c>
      <c r="G97" s="4">
        <v>0</v>
      </c>
      <c r="H97" s="5" t="s">
        <v>827</v>
      </c>
      <c r="I97" s="5" t="s">
        <v>284</v>
      </c>
      <c r="J97" s="5" t="s">
        <v>777</v>
      </c>
    </row>
    <row r="98" spans="1:10" x14ac:dyDescent="0.25">
      <c r="A98" s="2" t="s">
        <v>950</v>
      </c>
      <c r="B98" s="3">
        <v>55</v>
      </c>
      <c r="C98" s="4">
        <v>0</v>
      </c>
      <c r="D98" s="4">
        <v>0</v>
      </c>
      <c r="E98" s="4">
        <v>0</v>
      </c>
      <c r="F98" s="4">
        <v>2.8571428571428598E-2</v>
      </c>
      <c r="G98" s="4">
        <v>1</v>
      </c>
      <c r="H98" s="5" t="s">
        <v>828</v>
      </c>
      <c r="I98" s="5" t="s">
        <v>11</v>
      </c>
      <c r="J98" s="5" t="s">
        <v>829</v>
      </c>
    </row>
    <row r="99" spans="1:10" x14ac:dyDescent="0.25">
      <c r="A99" s="2" t="s">
        <v>951</v>
      </c>
      <c r="B99" s="3">
        <v>56</v>
      </c>
      <c r="C99" s="4">
        <v>0</v>
      </c>
      <c r="D99" s="4">
        <v>0</v>
      </c>
      <c r="E99" s="4">
        <v>0</v>
      </c>
      <c r="F99" s="4">
        <v>2.8571428571428598E-2</v>
      </c>
      <c r="G99" s="4">
        <v>1</v>
      </c>
      <c r="H99" s="5" t="s">
        <v>828</v>
      </c>
      <c r="I99" s="5" t="s">
        <v>11</v>
      </c>
      <c r="J99" s="5" t="s">
        <v>829</v>
      </c>
    </row>
    <row r="100" spans="1:10" x14ac:dyDescent="0.25">
      <c r="A100" s="2" t="s">
        <v>952</v>
      </c>
      <c r="B100" s="3">
        <v>57</v>
      </c>
      <c r="C100" s="4">
        <v>4.7619047619047603E-2</v>
      </c>
      <c r="D100" s="4">
        <v>0</v>
      </c>
      <c r="E100" s="4">
        <v>0</v>
      </c>
      <c r="F100" s="4">
        <v>0.119047619047619</v>
      </c>
      <c r="G100" s="4">
        <v>0</v>
      </c>
      <c r="H100" s="5" t="s">
        <v>817</v>
      </c>
      <c r="I100" s="5" t="s">
        <v>830</v>
      </c>
      <c r="J100" s="5" t="s">
        <v>807</v>
      </c>
    </row>
    <row r="101" spans="1:10" x14ac:dyDescent="0.25">
      <c r="A101" s="2" t="s">
        <v>953</v>
      </c>
      <c r="B101" s="3">
        <v>58</v>
      </c>
      <c r="C101" s="4">
        <v>4.7619047619047603E-2</v>
      </c>
      <c r="D101" s="4">
        <v>0</v>
      </c>
      <c r="E101" s="4">
        <v>0</v>
      </c>
      <c r="F101" s="4">
        <v>0.119047619047619</v>
      </c>
      <c r="G101" s="4">
        <v>0</v>
      </c>
      <c r="H101" s="5" t="s">
        <v>817</v>
      </c>
      <c r="I101" s="5" t="s">
        <v>830</v>
      </c>
      <c r="J101" s="5" t="s">
        <v>807</v>
      </c>
    </row>
    <row r="102" spans="1:10" x14ac:dyDescent="0.25">
      <c r="A102" s="2" t="s">
        <v>954</v>
      </c>
      <c r="B102" s="3">
        <v>59</v>
      </c>
      <c r="C102" s="4">
        <v>2.9850746268656699E-2</v>
      </c>
      <c r="D102" s="4">
        <v>0</v>
      </c>
      <c r="E102" s="4">
        <v>0</v>
      </c>
      <c r="F102" s="4">
        <v>0.104477611940299</v>
      </c>
      <c r="G102" s="4">
        <v>0</v>
      </c>
      <c r="H102" s="5" t="s">
        <v>831</v>
      </c>
      <c r="I102" s="5" t="s">
        <v>284</v>
      </c>
      <c r="J102" s="5" t="s">
        <v>769</v>
      </c>
    </row>
    <row r="103" spans="1:10" x14ac:dyDescent="0.25">
      <c r="A103" s="2" t="s">
        <v>955</v>
      </c>
      <c r="B103" s="3">
        <v>60</v>
      </c>
      <c r="C103" s="4">
        <v>2.9850746268656699E-2</v>
      </c>
      <c r="D103" s="4">
        <v>0</v>
      </c>
      <c r="E103" s="4">
        <v>0</v>
      </c>
      <c r="F103" s="4">
        <v>0.104477611940299</v>
      </c>
      <c r="G103" s="4">
        <v>0</v>
      </c>
      <c r="H103" s="5" t="s">
        <v>831</v>
      </c>
      <c r="I103" s="5" t="s">
        <v>284</v>
      </c>
      <c r="J103" s="5" t="s">
        <v>769</v>
      </c>
    </row>
    <row r="104" spans="1:10" x14ac:dyDescent="0.25">
      <c r="A104" s="2" t="s">
        <v>956</v>
      </c>
      <c r="B104" s="3">
        <v>61</v>
      </c>
      <c r="C104" s="4">
        <v>2.7777777777777801E-2</v>
      </c>
      <c r="D104" s="4">
        <v>0</v>
      </c>
      <c r="E104" s="4">
        <v>0</v>
      </c>
      <c r="F104" s="4">
        <v>8.3333333333333301E-2</v>
      </c>
      <c r="G104" s="4">
        <v>0</v>
      </c>
      <c r="H104" s="5" t="s">
        <v>832</v>
      </c>
      <c r="I104" s="5" t="s">
        <v>284</v>
      </c>
      <c r="J104" s="5" t="s">
        <v>791</v>
      </c>
    </row>
    <row r="105" spans="1:10" x14ac:dyDescent="0.25">
      <c r="A105" s="2" t="s">
        <v>957</v>
      </c>
      <c r="B105" s="3">
        <v>62</v>
      </c>
      <c r="C105" s="4">
        <v>2.7777777777777801E-2</v>
      </c>
      <c r="D105" s="4">
        <v>0</v>
      </c>
      <c r="E105" s="4">
        <v>0</v>
      </c>
      <c r="F105" s="4">
        <v>8.3333333333333301E-2</v>
      </c>
      <c r="G105" s="4">
        <v>0</v>
      </c>
      <c r="H105" s="5" t="s">
        <v>832</v>
      </c>
      <c r="I105" s="5" t="s">
        <v>284</v>
      </c>
      <c r="J105" s="5" t="s">
        <v>791</v>
      </c>
    </row>
    <row r="106" spans="1:10" x14ac:dyDescent="0.25">
      <c r="A106" s="2" t="s">
        <v>958</v>
      </c>
      <c r="B106" s="3">
        <v>63</v>
      </c>
      <c r="C106" s="4">
        <v>0.108108108108108</v>
      </c>
      <c r="D106" s="4">
        <v>0</v>
      </c>
      <c r="E106" s="4">
        <v>0</v>
      </c>
      <c r="F106" s="4">
        <v>0.162162162162162</v>
      </c>
      <c r="G106" s="4">
        <v>8.3333333333333301E-2</v>
      </c>
      <c r="H106" s="5" t="s">
        <v>833</v>
      </c>
      <c r="I106" s="5" t="s">
        <v>767</v>
      </c>
      <c r="J106" s="5" t="s">
        <v>762</v>
      </c>
    </row>
    <row r="107" spans="1:10" x14ac:dyDescent="0.25">
      <c r="A107" s="2" t="s">
        <v>959</v>
      </c>
      <c r="B107" s="3">
        <v>64</v>
      </c>
      <c r="C107" s="4">
        <v>0.108108108108108</v>
      </c>
      <c r="D107" s="4">
        <v>0</v>
      </c>
      <c r="E107" s="4">
        <v>0</v>
      </c>
      <c r="F107" s="4">
        <v>0.162162162162162</v>
      </c>
      <c r="G107" s="4">
        <v>8.3333333333333301E-2</v>
      </c>
      <c r="H107" s="5" t="s">
        <v>833</v>
      </c>
      <c r="I107" s="5" t="s">
        <v>767</v>
      </c>
      <c r="J107" s="5" t="s">
        <v>762</v>
      </c>
    </row>
    <row r="108" spans="1:10" x14ac:dyDescent="0.25">
      <c r="A108" s="2" t="s">
        <v>960</v>
      </c>
      <c r="B108" s="3">
        <v>65</v>
      </c>
      <c r="C108" s="4">
        <v>4.8387096774193498E-2</v>
      </c>
      <c r="D108" s="4">
        <v>0</v>
      </c>
      <c r="E108" s="4">
        <v>0</v>
      </c>
      <c r="F108" s="4">
        <v>9.6774193548387094E-2</v>
      </c>
      <c r="G108" s="4">
        <v>0</v>
      </c>
      <c r="H108" s="5" t="s">
        <v>765</v>
      </c>
      <c r="I108" s="5" t="s">
        <v>11</v>
      </c>
      <c r="J108" s="5" t="s">
        <v>809</v>
      </c>
    </row>
    <row r="109" spans="1:10" x14ac:dyDescent="0.25">
      <c r="A109" s="2" t="s">
        <v>961</v>
      </c>
      <c r="B109" s="3">
        <v>66</v>
      </c>
      <c r="C109" s="4">
        <v>4.8387096774193498E-2</v>
      </c>
      <c r="D109" s="4">
        <v>0</v>
      </c>
      <c r="E109" s="4">
        <v>0</v>
      </c>
      <c r="F109" s="4">
        <v>9.6774193548387094E-2</v>
      </c>
      <c r="G109" s="4">
        <v>0</v>
      </c>
      <c r="H109" s="5" t="s">
        <v>765</v>
      </c>
      <c r="I109" s="5" t="s">
        <v>11</v>
      </c>
      <c r="J109" s="5" t="s">
        <v>809</v>
      </c>
    </row>
    <row r="110" spans="1:10" x14ac:dyDescent="0.25">
      <c r="A110" s="2" t="s">
        <v>962</v>
      </c>
      <c r="B110" s="3">
        <v>67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5" t="s">
        <v>834</v>
      </c>
      <c r="I110" s="5"/>
      <c r="J110" s="5" t="s">
        <v>805</v>
      </c>
    </row>
    <row r="111" spans="1:10" x14ac:dyDescent="0.25">
      <c r="A111" s="2" t="s">
        <v>963</v>
      </c>
      <c r="B111" s="3">
        <v>68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5" t="s">
        <v>834</v>
      </c>
      <c r="I111" s="5"/>
      <c r="J111" s="5" t="s">
        <v>805</v>
      </c>
    </row>
    <row r="112" spans="1:10" x14ac:dyDescent="0.25">
      <c r="A112" s="2" t="s">
        <v>964</v>
      </c>
      <c r="B112" s="3">
        <v>69</v>
      </c>
      <c r="C112" s="4">
        <v>5.2631578947368397E-2</v>
      </c>
      <c r="D112" s="4">
        <v>0</v>
      </c>
      <c r="E112" s="4">
        <v>0</v>
      </c>
      <c r="F112" s="4">
        <v>0.144736842105263</v>
      </c>
      <c r="G112" s="4">
        <v>0.63636363636363602</v>
      </c>
      <c r="H112" s="5" t="s">
        <v>835</v>
      </c>
      <c r="I112" s="5" t="s">
        <v>11</v>
      </c>
      <c r="J112" s="5" t="s">
        <v>796</v>
      </c>
    </row>
    <row r="113" spans="1:10" x14ac:dyDescent="0.25">
      <c r="A113" s="2" t="s">
        <v>965</v>
      </c>
      <c r="B113" s="3">
        <v>70</v>
      </c>
      <c r="C113" s="4">
        <v>5.2631578947368397E-2</v>
      </c>
      <c r="D113" s="4">
        <v>0</v>
      </c>
      <c r="E113" s="4">
        <v>0</v>
      </c>
      <c r="F113" s="4">
        <v>0.144736842105263</v>
      </c>
      <c r="G113" s="4">
        <v>0.63636363636363602</v>
      </c>
      <c r="H113" s="5" t="s">
        <v>835</v>
      </c>
      <c r="I113" s="5" t="s">
        <v>11</v>
      </c>
      <c r="J113" s="5" t="s">
        <v>796</v>
      </c>
    </row>
    <row r="114" spans="1:10" x14ac:dyDescent="0.25">
      <c r="A114" s="2" t="s">
        <v>966</v>
      </c>
      <c r="B114" s="3">
        <v>71</v>
      </c>
      <c r="C114" s="4">
        <v>2.7777777777777801E-2</v>
      </c>
      <c r="D114" s="4">
        <v>0</v>
      </c>
      <c r="E114" s="4">
        <v>1.3698630136986301E-2</v>
      </c>
      <c r="F114" s="4">
        <v>4.1666666666666699E-2</v>
      </c>
      <c r="G114" s="4">
        <v>0</v>
      </c>
      <c r="H114" s="5" t="s">
        <v>836</v>
      </c>
      <c r="I114" s="5" t="s">
        <v>807</v>
      </c>
      <c r="J114" s="5" t="s">
        <v>767</v>
      </c>
    </row>
    <row r="115" spans="1:10" x14ac:dyDescent="0.25">
      <c r="A115" s="2" t="s">
        <v>967</v>
      </c>
      <c r="B115" s="3">
        <v>72</v>
      </c>
      <c r="C115" s="4">
        <v>2.7777777777777801E-2</v>
      </c>
      <c r="D115" s="4">
        <v>0</v>
      </c>
      <c r="E115" s="4">
        <v>1.3698630136986301E-2</v>
      </c>
      <c r="F115" s="4">
        <v>4.1666666666666699E-2</v>
      </c>
      <c r="G115" s="4">
        <v>0</v>
      </c>
      <c r="H115" s="5" t="s">
        <v>836</v>
      </c>
      <c r="I115" s="5" t="s">
        <v>807</v>
      </c>
      <c r="J115" s="5" t="s">
        <v>767</v>
      </c>
    </row>
    <row r="116" spans="1:10" x14ac:dyDescent="0.25">
      <c r="A116" s="2" t="s">
        <v>968</v>
      </c>
      <c r="B116" s="3">
        <v>73</v>
      </c>
      <c r="C116" s="4">
        <v>3.0769230769230799E-2</v>
      </c>
      <c r="D116" s="4">
        <v>0</v>
      </c>
      <c r="E116" s="4">
        <v>2.9850746268656699E-2</v>
      </c>
      <c r="F116" s="4">
        <v>7.69230769230769E-2</v>
      </c>
      <c r="G116" s="4">
        <v>0.2</v>
      </c>
      <c r="H116" s="5" t="s">
        <v>837</v>
      </c>
      <c r="I116" s="5" t="s">
        <v>761</v>
      </c>
      <c r="J116" s="5" t="s">
        <v>772</v>
      </c>
    </row>
    <row r="117" spans="1:10" x14ac:dyDescent="0.25">
      <c r="A117" s="2" t="s">
        <v>969</v>
      </c>
      <c r="B117" s="3">
        <v>74</v>
      </c>
      <c r="C117" s="4">
        <v>3.0769230769230799E-2</v>
      </c>
      <c r="D117" s="4">
        <v>0</v>
      </c>
      <c r="E117" s="4">
        <v>2.9850746268656699E-2</v>
      </c>
      <c r="F117" s="4">
        <v>7.69230769230769E-2</v>
      </c>
      <c r="G117" s="4">
        <v>0.2</v>
      </c>
      <c r="H117" s="5" t="s">
        <v>837</v>
      </c>
      <c r="I117" s="5" t="s">
        <v>761</v>
      </c>
      <c r="J117" s="5" t="s">
        <v>772</v>
      </c>
    </row>
    <row r="118" spans="1:10" x14ac:dyDescent="0.25">
      <c r="A118" s="2" t="s">
        <v>970</v>
      </c>
      <c r="B118" s="3">
        <v>75</v>
      </c>
      <c r="C118" s="4">
        <v>0.13636363636363599</v>
      </c>
      <c r="D118" s="4">
        <v>0</v>
      </c>
      <c r="E118" s="4">
        <v>0</v>
      </c>
      <c r="F118" s="4">
        <v>0.204545454545455</v>
      </c>
      <c r="G118" s="4">
        <v>0</v>
      </c>
      <c r="H118" s="5" t="s">
        <v>838</v>
      </c>
      <c r="I118" s="5" t="s">
        <v>839</v>
      </c>
      <c r="J118" s="5" t="s">
        <v>764</v>
      </c>
    </row>
    <row r="119" spans="1:10" x14ac:dyDescent="0.25">
      <c r="A119" s="2" t="s">
        <v>971</v>
      </c>
      <c r="B119" s="3">
        <v>76</v>
      </c>
      <c r="C119" s="4">
        <v>0.13636363636363599</v>
      </c>
      <c r="D119" s="4">
        <v>0</v>
      </c>
      <c r="E119" s="4">
        <v>0</v>
      </c>
      <c r="F119" s="4">
        <v>0.204545454545455</v>
      </c>
      <c r="G119" s="4">
        <v>0</v>
      </c>
      <c r="H119" s="5" t="s">
        <v>838</v>
      </c>
      <c r="I119" s="5" t="s">
        <v>839</v>
      </c>
      <c r="J119" s="5" t="s">
        <v>764</v>
      </c>
    </row>
    <row r="120" spans="1:10" x14ac:dyDescent="0.25">
      <c r="A120" s="2" t="s">
        <v>972</v>
      </c>
      <c r="B120" s="3">
        <v>77</v>
      </c>
      <c r="C120" s="4">
        <v>1.63934426229508E-2</v>
      </c>
      <c r="D120" s="4">
        <v>0</v>
      </c>
      <c r="E120" s="4">
        <v>0</v>
      </c>
      <c r="F120" s="4">
        <v>8.1967213114754106E-2</v>
      </c>
      <c r="G120" s="4">
        <v>0</v>
      </c>
      <c r="H120" s="5" t="s">
        <v>831</v>
      </c>
      <c r="I120" s="5" t="s">
        <v>771</v>
      </c>
      <c r="J120" s="5" t="s">
        <v>791</v>
      </c>
    </row>
    <row r="121" spans="1:10" x14ac:dyDescent="0.25">
      <c r="A121" s="2" t="s">
        <v>973</v>
      </c>
      <c r="B121" s="3">
        <v>78</v>
      </c>
      <c r="C121" s="4">
        <v>1.63934426229508E-2</v>
      </c>
      <c r="D121" s="4">
        <v>0</v>
      </c>
      <c r="E121" s="4">
        <v>0</v>
      </c>
      <c r="F121" s="4">
        <v>8.1967213114754106E-2</v>
      </c>
      <c r="G121" s="4">
        <v>0</v>
      </c>
      <c r="H121" s="5" t="s">
        <v>831</v>
      </c>
      <c r="I121" s="5" t="s">
        <v>771</v>
      </c>
      <c r="J121" s="5" t="s">
        <v>791</v>
      </c>
    </row>
    <row r="122" spans="1:10" x14ac:dyDescent="0.25">
      <c r="A122" s="2" t="s">
        <v>974</v>
      </c>
      <c r="B122" s="3">
        <v>79</v>
      </c>
      <c r="C122" s="4">
        <v>0.13043478260869601</v>
      </c>
      <c r="D122" s="4">
        <v>0</v>
      </c>
      <c r="E122" s="4">
        <v>0</v>
      </c>
      <c r="F122" s="4">
        <v>0.19565217391304299</v>
      </c>
      <c r="G122" s="4">
        <v>0</v>
      </c>
      <c r="H122" s="5" t="s">
        <v>840</v>
      </c>
      <c r="I122" s="5" t="s">
        <v>11</v>
      </c>
      <c r="J122" s="5" t="s">
        <v>767</v>
      </c>
    </row>
    <row r="123" spans="1:10" x14ac:dyDescent="0.25">
      <c r="A123" s="2" t="s">
        <v>975</v>
      </c>
      <c r="B123" s="3">
        <v>80</v>
      </c>
      <c r="C123" s="4">
        <v>0.13043478260869601</v>
      </c>
      <c r="D123" s="4">
        <v>0</v>
      </c>
      <c r="E123" s="4">
        <v>0</v>
      </c>
      <c r="F123" s="4">
        <v>0.19565217391304299</v>
      </c>
      <c r="G123" s="4">
        <v>0</v>
      </c>
      <c r="H123" s="5" t="s">
        <v>840</v>
      </c>
      <c r="I123" s="5" t="s">
        <v>11</v>
      </c>
      <c r="J123" s="5" t="s">
        <v>767</v>
      </c>
    </row>
    <row r="124" spans="1:10" x14ac:dyDescent="0.25">
      <c r="A124" s="2" t="s">
        <v>976</v>
      </c>
      <c r="B124" s="3">
        <v>81</v>
      </c>
      <c r="C124" s="4">
        <v>6.5573770491803296E-2</v>
      </c>
      <c r="D124" s="4">
        <v>0</v>
      </c>
      <c r="E124" s="4">
        <v>0</v>
      </c>
      <c r="F124" s="4">
        <v>9.8360655737704902E-2</v>
      </c>
      <c r="G124" s="4">
        <v>0</v>
      </c>
      <c r="H124" s="5" t="s">
        <v>841</v>
      </c>
      <c r="I124" s="5" t="s">
        <v>762</v>
      </c>
      <c r="J124" s="5" t="s">
        <v>807</v>
      </c>
    </row>
    <row r="125" spans="1:10" x14ac:dyDescent="0.25">
      <c r="A125" s="2" t="s">
        <v>977</v>
      </c>
      <c r="B125" s="3">
        <v>82</v>
      </c>
      <c r="C125" s="4">
        <v>6.5573770491803296E-2</v>
      </c>
      <c r="D125" s="4">
        <v>0</v>
      </c>
      <c r="E125" s="4">
        <v>0</v>
      </c>
      <c r="F125" s="4">
        <v>9.8360655737704902E-2</v>
      </c>
      <c r="G125" s="4">
        <v>0</v>
      </c>
      <c r="H125" s="5" t="s">
        <v>841</v>
      </c>
      <c r="I125" s="5" t="s">
        <v>762</v>
      </c>
      <c r="J125" s="5" t="s">
        <v>807</v>
      </c>
    </row>
    <row r="126" spans="1:10" x14ac:dyDescent="0.25">
      <c r="A126" s="2" t="s">
        <v>978</v>
      </c>
      <c r="B126" s="3">
        <v>83</v>
      </c>
      <c r="C126" s="4">
        <v>0.11111111111111099</v>
      </c>
      <c r="D126" s="4">
        <v>0</v>
      </c>
      <c r="E126" s="4">
        <v>0</v>
      </c>
      <c r="F126" s="4">
        <v>0.126984126984127</v>
      </c>
      <c r="G126" s="4">
        <v>0</v>
      </c>
      <c r="H126" s="5" t="s">
        <v>835</v>
      </c>
      <c r="I126" s="5" t="s">
        <v>767</v>
      </c>
      <c r="J126" s="5" t="s">
        <v>842</v>
      </c>
    </row>
    <row r="127" spans="1:10" x14ac:dyDescent="0.25">
      <c r="A127" s="2" t="s">
        <v>979</v>
      </c>
      <c r="B127" s="3">
        <v>84</v>
      </c>
      <c r="C127" s="4">
        <v>0.11111111111111099</v>
      </c>
      <c r="D127" s="4">
        <v>0</v>
      </c>
      <c r="E127" s="4">
        <v>0</v>
      </c>
      <c r="F127" s="4">
        <v>0.126984126984127</v>
      </c>
      <c r="G127" s="4">
        <v>0</v>
      </c>
      <c r="H127" s="5" t="s">
        <v>835</v>
      </c>
      <c r="I127" s="5" t="s">
        <v>767</v>
      </c>
      <c r="J127" s="5" t="s">
        <v>842</v>
      </c>
    </row>
    <row r="128" spans="1:10" x14ac:dyDescent="0.25">
      <c r="A128" s="2" t="s">
        <v>980</v>
      </c>
      <c r="B128" s="3">
        <v>85</v>
      </c>
      <c r="C128" s="4">
        <v>5.4545454545454501E-2</v>
      </c>
      <c r="D128" s="4">
        <v>0</v>
      </c>
      <c r="E128" s="4">
        <v>0</v>
      </c>
      <c r="F128" s="4">
        <v>0.145454545454545</v>
      </c>
      <c r="G128" s="4">
        <v>0.125</v>
      </c>
      <c r="H128" s="5" t="s">
        <v>843</v>
      </c>
      <c r="I128" s="5" t="s">
        <v>774</v>
      </c>
      <c r="J128" s="5" t="s">
        <v>791</v>
      </c>
    </row>
    <row r="129" spans="1:10" x14ac:dyDescent="0.25">
      <c r="A129" s="2" t="s">
        <v>981</v>
      </c>
      <c r="B129" s="3">
        <v>86</v>
      </c>
      <c r="C129" s="4">
        <v>5.4545454545454501E-2</v>
      </c>
      <c r="D129" s="4">
        <v>0</v>
      </c>
      <c r="E129" s="4">
        <v>0</v>
      </c>
      <c r="F129" s="4">
        <v>0.145454545454545</v>
      </c>
      <c r="G129" s="4">
        <v>0.125</v>
      </c>
      <c r="H129" s="5" t="s">
        <v>843</v>
      </c>
      <c r="I129" s="5" t="s">
        <v>774</v>
      </c>
      <c r="J129" s="5" t="s">
        <v>791</v>
      </c>
    </row>
    <row r="130" spans="1:10" x14ac:dyDescent="0.25">
      <c r="A130" s="2" t="s">
        <v>982</v>
      </c>
      <c r="B130" s="3">
        <v>87</v>
      </c>
      <c r="C130" s="4">
        <v>0.102040816326531</v>
      </c>
      <c r="D130" s="4">
        <v>0</v>
      </c>
      <c r="E130" s="4">
        <v>0.02</v>
      </c>
      <c r="F130" s="4">
        <v>0.102040816326531</v>
      </c>
      <c r="G130" s="4">
        <v>0</v>
      </c>
      <c r="H130" s="5" t="s">
        <v>821</v>
      </c>
      <c r="I130" s="5" t="s">
        <v>11</v>
      </c>
      <c r="J130" s="5" t="s">
        <v>777</v>
      </c>
    </row>
    <row r="131" spans="1:10" x14ac:dyDescent="0.25">
      <c r="A131" s="2" t="s">
        <v>983</v>
      </c>
      <c r="B131" s="3">
        <v>88</v>
      </c>
      <c r="C131" s="4">
        <v>0.102040816326531</v>
      </c>
      <c r="D131" s="4">
        <v>0</v>
      </c>
      <c r="E131" s="4">
        <v>0.02</v>
      </c>
      <c r="F131" s="4">
        <v>0.102040816326531</v>
      </c>
      <c r="G131" s="4">
        <v>0</v>
      </c>
      <c r="H131" s="5" t="s">
        <v>821</v>
      </c>
      <c r="I131" s="5" t="s">
        <v>11</v>
      </c>
      <c r="J131" s="5" t="s">
        <v>777</v>
      </c>
    </row>
    <row r="132" spans="1:10" x14ac:dyDescent="0.25">
      <c r="A132" s="2" t="s">
        <v>984</v>
      </c>
      <c r="B132" s="3">
        <v>89</v>
      </c>
      <c r="C132" s="4">
        <v>0.1</v>
      </c>
      <c r="D132" s="4">
        <v>0</v>
      </c>
      <c r="E132" s="4">
        <v>0</v>
      </c>
      <c r="F132" s="4">
        <v>0.1</v>
      </c>
      <c r="G132" s="4">
        <v>0</v>
      </c>
      <c r="H132" s="5" t="s">
        <v>844</v>
      </c>
      <c r="I132" s="5" t="s">
        <v>11</v>
      </c>
      <c r="J132" s="5" t="s">
        <v>824</v>
      </c>
    </row>
    <row r="133" spans="1:10" x14ac:dyDescent="0.25">
      <c r="A133" s="2" t="s">
        <v>985</v>
      </c>
      <c r="B133" s="3">
        <v>90</v>
      </c>
      <c r="C133" s="4">
        <v>0.1</v>
      </c>
      <c r="D133" s="4">
        <v>0</v>
      </c>
      <c r="E133" s="4">
        <v>0</v>
      </c>
      <c r="F133" s="4">
        <v>0.1</v>
      </c>
      <c r="G133" s="4">
        <v>0</v>
      </c>
      <c r="H133" s="5" t="s">
        <v>844</v>
      </c>
      <c r="I133" s="5" t="s">
        <v>11</v>
      </c>
      <c r="J133" s="5" t="s">
        <v>824</v>
      </c>
    </row>
    <row r="134" spans="1:10" x14ac:dyDescent="0.25">
      <c r="A134" s="2" t="s">
        <v>986</v>
      </c>
      <c r="B134" s="3">
        <v>91</v>
      </c>
      <c r="C134" s="4">
        <v>3.3898305084745797E-2</v>
      </c>
      <c r="D134" s="4">
        <v>0</v>
      </c>
      <c r="E134" s="4">
        <v>0</v>
      </c>
      <c r="F134" s="4">
        <v>0.152542372881356</v>
      </c>
      <c r="G134" s="4">
        <v>0.11111111111111099</v>
      </c>
      <c r="H134" s="5" t="s">
        <v>797</v>
      </c>
      <c r="I134" s="5" t="s">
        <v>845</v>
      </c>
      <c r="J134" s="5" t="s">
        <v>777</v>
      </c>
    </row>
    <row r="135" spans="1:10" x14ac:dyDescent="0.25">
      <c r="A135" s="2" t="s">
        <v>987</v>
      </c>
      <c r="B135" s="3">
        <v>92</v>
      </c>
      <c r="C135" s="4">
        <v>3.3898305084745797E-2</v>
      </c>
      <c r="D135" s="4">
        <v>0</v>
      </c>
      <c r="E135" s="4">
        <v>0</v>
      </c>
      <c r="F135" s="4">
        <v>0.152542372881356</v>
      </c>
      <c r="G135" s="4">
        <v>0.11111111111111099</v>
      </c>
      <c r="H135" s="5" t="s">
        <v>797</v>
      </c>
      <c r="I135" s="5" t="s">
        <v>845</v>
      </c>
      <c r="J135" s="5" t="s">
        <v>777</v>
      </c>
    </row>
    <row r="136" spans="1:10" x14ac:dyDescent="0.25">
      <c r="A136" s="2" t="s">
        <v>988</v>
      </c>
      <c r="B136" s="3">
        <v>93</v>
      </c>
      <c r="C136" s="4">
        <v>6.3829787234042604E-2</v>
      </c>
      <c r="D136" s="4">
        <v>0</v>
      </c>
      <c r="E136" s="4">
        <v>0</v>
      </c>
      <c r="F136" s="4">
        <v>0.19148936170212799</v>
      </c>
      <c r="G136" s="4">
        <v>0</v>
      </c>
      <c r="H136" s="5" t="s">
        <v>846</v>
      </c>
      <c r="I136" s="5" t="s">
        <v>847</v>
      </c>
      <c r="J136" s="5" t="s">
        <v>778</v>
      </c>
    </row>
    <row r="137" spans="1:10" x14ac:dyDescent="0.25">
      <c r="A137" s="2" t="s">
        <v>989</v>
      </c>
      <c r="B137" s="3">
        <v>94</v>
      </c>
      <c r="C137" s="4">
        <v>6.3829787234042604E-2</v>
      </c>
      <c r="D137" s="4">
        <v>0</v>
      </c>
      <c r="E137" s="4">
        <v>0</v>
      </c>
      <c r="F137" s="4">
        <v>0.19148936170212799</v>
      </c>
      <c r="G137" s="4">
        <v>0</v>
      </c>
      <c r="H137" s="5" t="s">
        <v>846</v>
      </c>
      <c r="I137" s="5" t="s">
        <v>847</v>
      </c>
      <c r="J137" s="5" t="s">
        <v>778</v>
      </c>
    </row>
    <row r="138" spans="1:10" x14ac:dyDescent="0.25">
      <c r="A138" s="2" t="s">
        <v>990</v>
      </c>
      <c r="B138" s="3">
        <v>95</v>
      </c>
      <c r="C138" s="4">
        <v>0.118421052631579</v>
      </c>
      <c r="D138" s="4">
        <v>0</v>
      </c>
      <c r="E138" s="4">
        <v>0</v>
      </c>
      <c r="F138" s="4">
        <v>0.23684210526315799</v>
      </c>
      <c r="G138" s="4">
        <v>5.5555555555555601E-2</v>
      </c>
      <c r="H138" s="5" t="s">
        <v>834</v>
      </c>
      <c r="I138" s="5" t="s">
        <v>785</v>
      </c>
      <c r="J138" s="5" t="s">
        <v>791</v>
      </c>
    </row>
    <row r="139" spans="1:10" x14ac:dyDescent="0.25">
      <c r="A139" s="2" t="s">
        <v>991</v>
      </c>
      <c r="B139" s="3">
        <v>96</v>
      </c>
      <c r="C139" s="4">
        <v>0.118421052631579</v>
      </c>
      <c r="D139" s="4">
        <v>0</v>
      </c>
      <c r="E139" s="4">
        <v>0</v>
      </c>
      <c r="F139" s="4">
        <v>0.23684210526315799</v>
      </c>
      <c r="G139" s="4">
        <v>5.5555555555555601E-2</v>
      </c>
      <c r="H139" s="5" t="s">
        <v>834</v>
      </c>
      <c r="I139" s="5" t="s">
        <v>785</v>
      </c>
      <c r="J139" s="5" t="s">
        <v>791</v>
      </c>
    </row>
    <row r="140" spans="1:10" x14ac:dyDescent="0.25">
      <c r="A140" s="2" t="s">
        <v>992</v>
      </c>
      <c r="B140" s="3">
        <v>97</v>
      </c>
      <c r="C140" s="4">
        <v>7.1428571428571397E-2</v>
      </c>
      <c r="D140" s="4">
        <v>0</v>
      </c>
      <c r="E140" s="4">
        <v>0</v>
      </c>
      <c r="F140" s="4">
        <v>0.128571428571428</v>
      </c>
      <c r="G140" s="4">
        <v>0.22222222222222199</v>
      </c>
      <c r="H140" s="5" t="s">
        <v>782</v>
      </c>
      <c r="I140" s="5" t="s">
        <v>848</v>
      </c>
      <c r="J140" s="5" t="s">
        <v>791</v>
      </c>
    </row>
    <row r="141" spans="1:10" x14ac:dyDescent="0.25">
      <c r="A141" s="2" t="s">
        <v>993</v>
      </c>
      <c r="B141" s="3">
        <v>98</v>
      </c>
      <c r="C141" s="4">
        <v>7.1428571428571397E-2</v>
      </c>
      <c r="D141" s="4">
        <v>0</v>
      </c>
      <c r="E141" s="4">
        <v>0</v>
      </c>
      <c r="F141" s="4">
        <v>0.128571428571428</v>
      </c>
      <c r="G141" s="4">
        <v>0.22222222222222199</v>
      </c>
      <c r="H141" s="5" t="s">
        <v>782</v>
      </c>
      <c r="I141" s="5" t="s">
        <v>848</v>
      </c>
      <c r="J141" s="5" t="s">
        <v>791</v>
      </c>
    </row>
    <row r="142" spans="1:10" x14ac:dyDescent="0.25">
      <c r="A142" s="2" t="s">
        <v>994</v>
      </c>
      <c r="B142" s="3">
        <v>99</v>
      </c>
      <c r="C142" s="4">
        <v>0</v>
      </c>
      <c r="D142" s="4">
        <v>0</v>
      </c>
      <c r="E142" s="4">
        <v>0</v>
      </c>
      <c r="F142" s="4">
        <v>0.04</v>
      </c>
      <c r="G142" s="4">
        <v>0</v>
      </c>
      <c r="H142" s="5" t="s">
        <v>814</v>
      </c>
      <c r="I142" s="5" t="s">
        <v>849</v>
      </c>
      <c r="J142" s="5" t="s">
        <v>791</v>
      </c>
    </row>
    <row r="143" spans="1:10" x14ac:dyDescent="0.25">
      <c r="A143" s="2" t="s">
        <v>995</v>
      </c>
      <c r="B143" s="3">
        <v>100</v>
      </c>
      <c r="C143" s="4">
        <v>0</v>
      </c>
      <c r="D143" s="4">
        <v>0</v>
      </c>
      <c r="E143" s="4">
        <v>0</v>
      </c>
      <c r="F143" s="4">
        <v>0.04</v>
      </c>
      <c r="G143" s="4">
        <v>0</v>
      </c>
      <c r="H143" s="5" t="s">
        <v>814</v>
      </c>
      <c r="I143" s="5" t="s">
        <v>849</v>
      </c>
      <c r="J143" s="5" t="s">
        <v>791</v>
      </c>
    </row>
    <row r="144" spans="1:10" x14ac:dyDescent="0.25">
      <c r="A144" s="2" t="s">
        <v>996</v>
      </c>
      <c r="B144" s="3">
        <v>101</v>
      </c>
      <c r="C144" s="4">
        <v>3.1746031746031703E-2</v>
      </c>
      <c r="D144" s="4">
        <v>0</v>
      </c>
      <c r="E144" s="4">
        <v>0</v>
      </c>
      <c r="F144" s="4">
        <v>0.126984126984127</v>
      </c>
      <c r="G144" s="4">
        <v>0</v>
      </c>
      <c r="H144" s="5" t="s">
        <v>850</v>
      </c>
      <c r="I144" s="5" t="s">
        <v>851</v>
      </c>
      <c r="J144" s="5" t="s">
        <v>786</v>
      </c>
    </row>
    <row r="145" spans="1:10" x14ac:dyDescent="0.25">
      <c r="A145" s="2" t="s">
        <v>997</v>
      </c>
      <c r="B145" s="3">
        <v>102</v>
      </c>
      <c r="C145" s="4">
        <v>3.1746031746031703E-2</v>
      </c>
      <c r="D145" s="4">
        <v>0</v>
      </c>
      <c r="E145" s="4">
        <v>0</v>
      </c>
      <c r="F145" s="4">
        <v>0.126984126984127</v>
      </c>
      <c r="G145" s="4">
        <v>0</v>
      </c>
      <c r="H145" s="5" t="s">
        <v>850</v>
      </c>
      <c r="I145" s="5" t="s">
        <v>851</v>
      </c>
      <c r="J145" s="5" t="s">
        <v>786</v>
      </c>
    </row>
    <row r="146" spans="1:10" x14ac:dyDescent="0.25">
      <c r="A146" s="2" t="s">
        <v>998</v>
      </c>
      <c r="B146" s="3">
        <v>103</v>
      </c>
      <c r="C146" s="4">
        <v>0</v>
      </c>
      <c r="D146" s="4">
        <v>0</v>
      </c>
      <c r="E146" s="4">
        <v>0</v>
      </c>
      <c r="F146" s="4">
        <v>4.8387096774193498E-2</v>
      </c>
      <c r="G146" s="4">
        <v>0</v>
      </c>
      <c r="H146" s="5" t="s">
        <v>832</v>
      </c>
      <c r="I146" s="5" t="s">
        <v>11</v>
      </c>
      <c r="J146" s="5" t="s">
        <v>791</v>
      </c>
    </row>
    <row r="147" spans="1:10" x14ac:dyDescent="0.25">
      <c r="A147" s="2" t="s">
        <v>999</v>
      </c>
      <c r="B147" s="3">
        <v>104</v>
      </c>
      <c r="C147" s="4">
        <v>0</v>
      </c>
      <c r="D147" s="4">
        <v>0</v>
      </c>
      <c r="E147" s="4">
        <v>0</v>
      </c>
      <c r="F147" s="4">
        <v>4.8387096774193498E-2</v>
      </c>
      <c r="G147" s="4">
        <v>0</v>
      </c>
      <c r="H147" s="5" t="s">
        <v>832</v>
      </c>
      <c r="I147" s="5" t="s">
        <v>11</v>
      </c>
      <c r="J147" s="5" t="s">
        <v>791</v>
      </c>
    </row>
    <row r="148" spans="1:10" x14ac:dyDescent="0.25">
      <c r="A148" s="2" t="s">
        <v>1000</v>
      </c>
      <c r="B148" s="3">
        <v>105</v>
      </c>
      <c r="C148" s="4">
        <v>3.2786885245901599E-2</v>
      </c>
      <c r="D148" s="4">
        <v>0</v>
      </c>
      <c r="E148" s="4">
        <v>0</v>
      </c>
      <c r="F148" s="4">
        <v>6.5573770491803296E-2</v>
      </c>
      <c r="G148" s="4">
        <v>0.25</v>
      </c>
      <c r="H148" s="5" t="s">
        <v>828</v>
      </c>
      <c r="I148" s="5" t="s">
        <v>11</v>
      </c>
      <c r="J148" s="5" t="s">
        <v>762</v>
      </c>
    </row>
    <row r="149" spans="1:10" x14ac:dyDescent="0.25">
      <c r="A149" s="2" t="s">
        <v>1001</v>
      </c>
      <c r="B149" s="3">
        <v>106</v>
      </c>
      <c r="C149" s="4">
        <v>3.2786885245901599E-2</v>
      </c>
      <c r="D149" s="4">
        <v>0</v>
      </c>
      <c r="E149" s="4">
        <v>0</v>
      </c>
      <c r="F149" s="4">
        <v>6.5573770491803296E-2</v>
      </c>
      <c r="G149" s="4">
        <v>0.25</v>
      </c>
      <c r="H149" s="5" t="s">
        <v>828</v>
      </c>
      <c r="I149" s="5" t="s">
        <v>11</v>
      </c>
      <c r="J149" s="5" t="s">
        <v>762</v>
      </c>
    </row>
    <row r="150" spans="1:10" x14ac:dyDescent="0.25">
      <c r="A150" s="2" t="s">
        <v>1002</v>
      </c>
      <c r="B150" s="3">
        <v>107</v>
      </c>
      <c r="C150" s="4">
        <v>3.2786885245901599E-2</v>
      </c>
      <c r="D150" s="4">
        <v>0</v>
      </c>
      <c r="E150" s="4">
        <v>0</v>
      </c>
      <c r="F150" s="4">
        <v>9.8360655737704902E-2</v>
      </c>
      <c r="G150" s="4">
        <v>0</v>
      </c>
      <c r="H150" s="5" t="s">
        <v>782</v>
      </c>
      <c r="I150" s="5" t="s">
        <v>772</v>
      </c>
      <c r="J150" s="5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0"/>
  <sheetViews>
    <sheetView topLeftCell="D1" zoomScaleNormal="100" workbookViewId="0">
      <selection activeCell="I3" sqref="A1:XFD1048576"/>
    </sheetView>
  </sheetViews>
  <sheetFormatPr defaultRowHeight="15" x14ac:dyDescent="0.25"/>
  <cols>
    <col min="1" max="1" width="34.85546875" bestFit="1" customWidth="1"/>
    <col min="2" max="2" width="25.85546875" customWidth="1"/>
    <col min="3" max="3" width="31" customWidth="1"/>
    <col min="4" max="4" width="25" customWidth="1"/>
    <col min="5" max="5" width="19.5703125" customWidth="1"/>
    <col min="6" max="6" width="19.140625" customWidth="1"/>
    <col min="7" max="7" width="19.5703125" customWidth="1"/>
  </cols>
  <sheetData>
    <row r="1" spans="1:7" ht="29.25" customHeight="1" x14ac:dyDescent="0.25">
      <c r="A1" s="16" t="s">
        <v>0</v>
      </c>
      <c r="B1" s="17" t="s">
        <v>852</v>
      </c>
      <c r="C1" s="18" t="s">
        <v>853</v>
      </c>
      <c r="D1" s="19" t="s">
        <v>448</v>
      </c>
      <c r="E1" s="20" t="s">
        <v>8</v>
      </c>
      <c r="F1" s="20" t="s">
        <v>449</v>
      </c>
      <c r="G1" s="20" t="s">
        <v>451</v>
      </c>
    </row>
    <row r="2" spans="1:7" x14ac:dyDescent="0.25">
      <c r="A2" t="str">
        <f>Break!A2</f>
        <v>Mum_Abdul Hamid (1008512)</v>
      </c>
      <c r="B2" s="21" t="str">
        <f>MID(A2,FIND("_",A2,1)+1,FIND("(",A2,1)-FIND("_",A2,1)-2)</f>
        <v>Abdul Hamid</v>
      </c>
      <c r="C2" s="12">
        <f t="shared" ref="C2:C33" si="0">TIMEVALUE(VLOOKUP(A2,RData,2,0))</f>
        <v>0.34424768518518517</v>
      </c>
      <c r="D2" s="12">
        <f t="shared" ref="D2:D33" si="1">TIMEVALUE(VLOOKUP(A2,RData,3,0))</f>
        <v>0.20693287037037036</v>
      </c>
      <c r="E2" s="12">
        <f t="shared" ref="E2:E33" si="2">TIMEVALUE(VLOOKUP(A2,VData,2,0))</f>
        <v>2.5567129629629634E-2</v>
      </c>
      <c r="F2">
        <f t="shared" ref="F2:F33" si="3">VLOOKUP(A2,PData,2,0)</f>
        <v>98</v>
      </c>
      <c r="G2" s="15">
        <f t="shared" ref="G2:G33" si="4">VLOOKUP(A2,RData,6,0)</f>
        <v>0.55697138822580095</v>
      </c>
    </row>
    <row r="3" spans="1:7" x14ac:dyDescent="0.25">
      <c r="A3" t="str">
        <f>Break!A3</f>
        <v>Mum_Afzal Husain (1008513)</v>
      </c>
      <c r="B3" s="21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0.20733796296296295</v>
      </c>
      <c r="E3" s="12">
        <f t="shared" si="2"/>
        <v>2.7731481481481478E-2</v>
      </c>
      <c r="F3">
        <f t="shared" si="3"/>
        <v>23</v>
      </c>
      <c r="G3" s="15">
        <f t="shared" si="4"/>
        <v>0.58027306967984904</v>
      </c>
    </row>
    <row r="4" spans="1:7" x14ac:dyDescent="0.25">
      <c r="A4" t="str">
        <f>Break!A4</f>
        <v>Mum_Anamika Gupta (1008514)</v>
      </c>
      <c r="B4" s="21" t="str">
        <f t="shared" si="5"/>
        <v>Anamika Gupta</v>
      </c>
      <c r="C4" s="12">
        <f t="shared" si="0"/>
        <v>0.34510416666666671</v>
      </c>
      <c r="D4" s="12">
        <f t="shared" si="1"/>
        <v>0.20109953703703706</v>
      </c>
      <c r="E4" s="12">
        <f t="shared" si="2"/>
        <v>2.7650462962962963E-2</v>
      </c>
      <c r="F4">
        <f t="shared" si="3"/>
        <v>28</v>
      </c>
      <c r="G4" s="15">
        <f t="shared" si="4"/>
        <v>0.51708756749505302</v>
      </c>
    </row>
    <row r="5" spans="1:7" x14ac:dyDescent="0.25">
      <c r="A5" t="str">
        <f>Break!A5</f>
        <v>Mum_Anikuttan (1008515)</v>
      </c>
      <c r="B5" s="21" t="str">
        <f t="shared" si="5"/>
        <v>Anikuttan</v>
      </c>
      <c r="C5" s="12">
        <f t="shared" si="0"/>
        <v>0.34023148148148147</v>
      </c>
      <c r="D5" s="12">
        <f t="shared" si="1"/>
        <v>0.17884259259259261</v>
      </c>
      <c r="E5" s="12">
        <f t="shared" si="2"/>
        <v>2.7280092592592592E-2</v>
      </c>
      <c r="F5">
        <f t="shared" si="3"/>
        <v>29</v>
      </c>
      <c r="G5" s="15">
        <f t="shared" si="4"/>
        <v>0.47720778337188702</v>
      </c>
    </row>
    <row r="6" spans="1:7" x14ac:dyDescent="0.25">
      <c r="A6" t="str">
        <f>Break!A6</f>
        <v>Mum_Anil Kumar (1008516)</v>
      </c>
      <c r="B6" s="21" t="str">
        <f t="shared" si="5"/>
        <v>Anil Kumar</v>
      </c>
      <c r="C6" s="12">
        <f t="shared" si="0"/>
        <v>0.30603009259259256</v>
      </c>
      <c r="D6" s="12">
        <f t="shared" si="1"/>
        <v>0.13870370370370369</v>
      </c>
      <c r="E6" s="12">
        <f t="shared" si="2"/>
        <v>0</v>
      </c>
      <c r="F6">
        <f t="shared" si="3"/>
        <v>93</v>
      </c>
      <c r="G6" s="15">
        <f t="shared" si="4"/>
        <v>0.43288831738587802</v>
      </c>
    </row>
    <row r="7" spans="1:7" x14ac:dyDescent="0.25">
      <c r="A7" t="str">
        <f>Break!A7</f>
        <v>Mum_Anita Dixit (1008517)</v>
      </c>
      <c r="B7" s="21" t="str">
        <f t="shared" si="5"/>
        <v>Anita Dixit</v>
      </c>
      <c r="C7" s="12">
        <f t="shared" si="0"/>
        <v>0.20843750000000003</v>
      </c>
      <c r="D7" s="12">
        <f t="shared" si="1"/>
        <v>0.15369212962962964</v>
      </c>
      <c r="E7" s="12">
        <f t="shared" si="2"/>
        <v>0</v>
      </c>
      <c r="F7">
        <f t="shared" si="3"/>
        <v>92</v>
      </c>
      <c r="G7" s="15">
        <f t="shared" si="4"/>
        <v>0.65495030262646503</v>
      </c>
    </row>
    <row r="8" spans="1:7" x14ac:dyDescent="0.25">
      <c r="A8" t="str">
        <f>Break!A8</f>
        <v>Mum_Anita Ghore (1008518)</v>
      </c>
      <c r="B8" s="21" t="str">
        <f t="shared" si="5"/>
        <v>Anita Ghore</v>
      </c>
      <c r="C8" s="12">
        <f t="shared" si="0"/>
        <v>0.34488425925925931</v>
      </c>
      <c r="D8" s="12">
        <f t="shared" si="1"/>
        <v>0.17553240740740741</v>
      </c>
      <c r="E8" s="12">
        <f t="shared" si="2"/>
        <v>2.7766203703703706E-2</v>
      </c>
      <c r="F8">
        <f t="shared" si="3"/>
        <v>26</v>
      </c>
      <c r="G8" s="15">
        <f t="shared" si="4"/>
        <v>0.49476474931203401</v>
      </c>
    </row>
    <row r="9" spans="1:7" x14ac:dyDescent="0.25">
      <c r="A9" t="str">
        <f>Break!A9</f>
        <v>Mum_Anjali Deoram (1008519)</v>
      </c>
      <c r="B9" s="21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2.8043981481481479E-2</v>
      </c>
      <c r="F9">
        <f t="shared" si="3"/>
        <v>90</v>
      </c>
      <c r="G9" s="15">
        <f t="shared" si="4"/>
        <v>0.55128627474469205</v>
      </c>
    </row>
    <row r="10" spans="1:7" x14ac:dyDescent="0.25">
      <c r="A10" t="str">
        <f>Break!A10</f>
        <v>Mum_Anjali Sahay (1008520)</v>
      </c>
      <c r="B10" s="21" t="str">
        <f t="shared" si="5"/>
        <v>Anjali Sahay</v>
      </c>
      <c r="C10" s="12">
        <f t="shared" si="0"/>
        <v>0.34256944444444448</v>
      </c>
      <c r="D10" s="12">
        <f t="shared" si="1"/>
        <v>0.20311342592592593</v>
      </c>
      <c r="E10" s="12">
        <f t="shared" si="2"/>
        <v>2.7719907407407405E-2</v>
      </c>
      <c r="F10">
        <f t="shared" si="3"/>
        <v>89</v>
      </c>
      <c r="G10" s="15">
        <f t="shared" si="4"/>
        <v>0.55206432867085597</v>
      </c>
    </row>
    <row r="11" spans="1:7" x14ac:dyDescent="0.25">
      <c r="A11" t="str">
        <f>Break!A11</f>
        <v>Mum_Annu Latika (1008521)</v>
      </c>
      <c r="B11" s="2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2.7673611111111111E-2</v>
      </c>
      <c r="F11">
        <f t="shared" si="3"/>
        <v>54</v>
      </c>
      <c r="G11" s="15">
        <f t="shared" si="4"/>
        <v>0.56868945774108703</v>
      </c>
    </row>
    <row r="12" spans="1:7" x14ac:dyDescent="0.25">
      <c r="A12" t="str">
        <f>Break!A12</f>
        <v>Mum_Anoop Narayan (1008522)</v>
      </c>
      <c r="B12" s="21" t="str">
        <f t="shared" si="5"/>
        <v>Anoop Narayan</v>
      </c>
      <c r="C12" s="12">
        <f t="shared" si="0"/>
        <v>0.34068287037037037</v>
      </c>
      <c r="D12" s="12">
        <f t="shared" si="1"/>
        <v>0.20518518518518516</v>
      </c>
      <c r="E12" s="12">
        <f t="shared" si="2"/>
        <v>2.7557870370370368E-2</v>
      </c>
      <c r="F12">
        <f t="shared" si="3"/>
        <v>87</v>
      </c>
      <c r="G12" s="15">
        <f t="shared" si="4"/>
        <v>0.56035332087650802</v>
      </c>
    </row>
    <row r="13" spans="1:7" x14ac:dyDescent="0.25">
      <c r="A13" t="str">
        <f>Break!A13</f>
        <v>Mum_Anoop Raj (1008523)</v>
      </c>
      <c r="B13" s="21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2.7141203703703706E-2</v>
      </c>
      <c r="F13">
        <f t="shared" si="3"/>
        <v>65</v>
      </c>
      <c r="G13" s="15">
        <f t="shared" si="4"/>
        <v>0.41552495697073999</v>
      </c>
    </row>
    <row r="14" spans="1:7" x14ac:dyDescent="0.25">
      <c r="A14" t="str">
        <f>Break!A14</f>
        <v>Mum_Anubhuti Gupta (1008524)</v>
      </c>
      <c r="B14" s="21" t="str">
        <f t="shared" si="5"/>
        <v>Anubhuti Gupta</v>
      </c>
      <c r="C14" s="12">
        <f t="shared" si="0"/>
        <v>0.34349537037037042</v>
      </c>
      <c r="D14" s="12">
        <f t="shared" si="1"/>
        <v>0.19699074074074074</v>
      </c>
      <c r="E14" s="12">
        <f t="shared" si="2"/>
        <v>2.7152777777777779E-2</v>
      </c>
      <c r="F14">
        <f t="shared" si="3"/>
        <v>85</v>
      </c>
      <c r="G14" s="15">
        <f t="shared" si="4"/>
        <v>0.50026955994339195</v>
      </c>
    </row>
    <row r="15" spans="1:7" x14ac:dyDescent="0.25">
      <c r="A15" t="str">
        <f>Break!A15</f>
        <v>Mum_Arun Kumar (1008525)</v>
      </c>
      <c r="B15" s="21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2.9861111111111113E-2</v>
      </c>
      <c r="F15">
        <f t="shared" si="3"/>
        <v>65</v>
      </c>
      <c r="G15" s="15">
        <f t="shared" si="4"/>
        <v>0.51396318166029897</v>
      </c>
    </row>
    <row r="16" spans="1:7" x14ac:dyDescent="0.25">
      <c r="A16" t="str">
        <f>Break!A16</f>
        <v>Mum_Ashish Kumar (1008526)</v>
      </c>
      <c r="B16" s="21" t="str">
        <f t="shared" si="5"/>
        <v>Ashish Kumar</v>
      </c>
      <c r="C16" s="12">
        <f t="shared" si="0"/>
        <v>0.34512731481481485</v>
      </c>
      <c r="D16" s="12">
        <f t="shared" si="1"/>
        <v>0.2066550925925926</v>
      </c>
      <c r="E16" s="12">
        <f t="shared" si="2"/>
        <v>2.6122685185185183E-2</v>
      </c>
      <c r="F16">
        <f t="shared" si="3"/>
        <v>83</v>
      </c>
      <c r="G16" s="15">
        <f t="shared" si="4"/>
        <v>0.510580502364264</v>
      </c>
    </row>
    <row r="17" spans="1:7" x14ac:dyDescent="0.25">
      <c r="A17" t="str">
        <f>Break!A17</f>
        <v>Mum_Ashok Kumar (1008527)</v>
      </c>
      <c r="B17" s="21" t="str">
        <f t="shared" si="5"/>
        <v>Ashok Kumar</v>
      </c>
      <c r="C17" s="12">
        <f t="shared" si="0"/>
        <v>0.34531249999999997</v>
      </c>
      <c r="D17" s="12">
        <f t="shared" si="1"/>
        <v>0.17390046296296294</v>
      </c>
      <c r="E17" s="12">
        <f t="shared" si="2"/>
        <v>2.9236111111111112E-2</v>
      </c>
      <c r="F17">
        <f t="shared" si="3"/>
        <v>82</v>
      </c>
      <c r="G17" s="15">
        <f t="shared" si="4"/>
        <v>0.48292274174627098</v>
      </c>
    </row>
    <row r="18" spans="1:7" x14ac:dyDescent="0.25">
      <c r="A18" t="str">
        <f>Break!A18</f>
        <v>Hyd_Ashok Kumar (1008528)</v>
      </c>
      <c r="B18" s="21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2.7199074074074073E-2</v>
      </c>
      <c r="F18">
        <f t="shared" si="3"/>
        <v>81</v>
      </c>
      <c r="G18" s="15">
        <f t="shared" si="4"/>
        <v>0.57362319861879396</v>
      </c>
    </row>
    <row r="19" spans="1:7" x14ac:dyDescent="0.25">
      <c r="A19" t="str">
        <f>Break!A19</f>
        <v>Hyd_Ashok Kumar (1008529)</v>
      </c>
      <c r="B19" s="21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2.7743055555555559E-2</v>
      </c>
      <c r="F19">
        <f t="shared" si="3"/>
        <v>80</v>
      </c>
      <c r="G19" s="15">
        <f t="shared" si="4"/>
        <v>0.56430560681810604</v>
      </c>
    </row>
    <row r="20" spans="1:7" x14ac:dyDescent="0.25">
      <c r="A20" t="str">
        <f>Break!A20</f>
        <v>Hyd_Ashok Kumar (1008530)</v>
      </c>
      <c r="B20" s="21" t="str">
        <f t="shared" si="5"/>
        <v>Ashok Kumar</v>
      </c>
      <c r="C20" s="12">
        <f t="shared" si="0"/>
        <v>0.34810185185185188</v>
      </c>
      <c r="D20" s="12">
        <f t="shared" si="1"/>
        <v>0.18267361111111111</v>
      </c>
      <c r="E20" s="12">
        <f t="shared" si="2"/>
        <v>2.7210648148148147E-2</v>
      </c>
      <c r="F20">
        <f t="shared" si="3"/>
        <v>79</v>
      </c>
      <c r="G20" s="15">
        <f t="shared" si="4"/>
        <v>0.46974331693044302</v>
      </c>
    </row>
    <row r="21" spans="1:7" x14ac:dyDescent="0.25">
      <c r="A21" t="str">
        <f>Break!A21</f>
        <v>Hyd_Ashok Mahto (1008531)</v>
      </c>
      <c r="B21" s="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2.8009259259259262E-2</v>
      </c>
      <c r="F21">
        <f t="shared" si="3"/>
        <v>78</v>
      </c>
      <c r="G21" s="15">
        <f t="shared" si="4"/>
        <v>0.57495313336904097</v>
      </c>
    </row>
    <row r="22" spans="1:7" x14ac:dyDescent="0.25">
      <c r="A22" t="str">
        <f>Break!A22</f>
        <v>Hyd_Atul Kumar (1008532)</v>
      </c>
      <c r="B22" s="21" t="str">
        <f t="shared" si="5"/>
        <v>Atul Kumar</v>
      </c>
      <c r="C22" s="12">
        <f t="shared" si="0"/>
        <v>0.3428356481481481</v>
      </c>
      <c r="D22" s="12">
        <f t="shared" si="1"/>
        <v>0.20393518518518516</v>
      </c>
      <c r="E22" s="12">
        <f t="shared" si="2"/>
        <v>2.7418981481481485E-2</v>
      </c>
      <c r="F22">
        <f t="shared" si="3"/>
        <v>77</v>
      </c>
      <c r="G22" s="15">
        <f t="shared" si="4"/>
        <v>0.57945376590932096</v>
      </c>
    </row>
    <row r="23" spans="1:7" x14ac:dyDescent="0.25">
      <c r="A23" t="str">
        <f>Break!A23</f>
        <v>Hyd_Azam (1008533)</v>
      </c>
      <c r="B23" s="21" t="str">
        <f t="shared" si="5"/>
        <v>Azam</v>
      </c>
      <c r="C23" s="12">
        <f t="shared" si="0"/>
        <v>0.34553240740740737</v>
      </c>
      <c r="D23" s="12">
        <f t="shared" si="1"/>
        <v>0.20821759259259257</v>
      </c>
      <c r="E23" s="12">
        <f t="shared" si="2"/>
        <v>2.7511574074074074E-2</v>
      </c>
      <c r="F23">
        <f t="shared" si="3"/>
        <v>76</v>
      </c>
      <c r="G23" s="15">
        <f t="shared" si="4"/>
        <v>0.588296375695049</v>
      </c>
    </row>
    <row r="24" spans="1:7" x14ac:dyDescent="0.25">
      <c r="A24" t="str">
        <f>Break!A24</f>
        <v>Hyd_Bhagwat Singh (1008534)</v>
      </c>
      <c r="B24" s="21" t="str">
        <f t="shared" si="5"/>
        <v>Bhagwat Singh</v>
      </c>
      <c r="C24" s="12">
        <f t="shared" si="0"/>
        <v>0.32064814814814818</v>
      </c>
      <c r="D24" s="12">
        <f t="shared" si="1"/>
        <v>0.17288194444444446</v>
      </c>
      <c r="E24" s="12">
        <f t="shared" si="2"/>
        <v>2.7777777777777776E-2</v>
      </c>
      <c r="F24">
        <f t="shared" si="3"/>
        <v>75</v>
      </c>
      <c r="G24" s="15">
        <f t="shared" si="4"/>
        <v>0.46267686976609901</v>
      </c>
    </row>
    <row r="25" spans="1:7" x14ac:dyDescent="0.25">
      <c r="A25" t="str">
        <f>Break!A25</f>
        <v>Hyd_Bindu Nair (1008535)</v>
      </c>
      <c r="B25" s="21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2.7662037037037041E-2</v>
      </c>
      <c r="F25">
        <f t="shared" si="3"/>
        <v>74</v>
      </c>
      <c r="G25" s="15">
        <f t="shared" si="4"/>
        <v>0.478030199972793</v>
      </c>
    </row>
    <row r="26" spans="1:7" x14ac:dyDescent="0.25">
      <c r="A26" t="str">
        <f>Break!A26</f>
        <v>Hyd_Daleep Singh (1008536)</v>
      </c>
      <c r="B26" s="21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2.7407407407407408E-2</v>
      </c>
      <c r="F26">
        <f t="shared" si="3"/>
        <v>73</v>
      </c>
      <c r="G26" s="15">
        <f t="shared" si="4"/>
        <v>0.59983142279163904</v>
      </c>
    </row>
    <row r="27" spans="1:7" x14ac:dyDescent="0.25">
      <c r="A27" t="str">
        <f>Break!A27</f>
        <v>Hyd_Deepak Kumar (1008537)</v>
      </c>
      <c r="B27" s="21" t="str">
        <f t="shared" si="5"/>
        <v>Deepak Kumar</v>
      </c>
      <c r="C27" s="12">
        <f t="shared" si="0"/>
        <v>0.31663194444444448</v>
      </c>
      <c r="D27" s="12">
        <f t="shared" si="1"/>
        <v>0.21199074074074076</v>
      </c>
      <c r="E27" s="12">
        <f t="shared" si="2"/>
        <v>0</v>
      </c>
      <c r="F27">
        <f t="shared" si="3"/>
        <v>72</v>
      </c>
      <c r="G27" s="15">
        <f t="shared" si="4"/>
        <v>0.65029060203969702</v>
      </c>
    </row>
    <row r="28" spans="1:7" x14ac:dyDescent="0.25">
      <c r="A28" t="str">
        <f>Break!A28</f>
        <v>Hyd_Deepika Nigam (1008538)</v>
      </c>
      <c r="B28" s="21" t="str">
        <f t="shared" si="5"/>
        <v>Deepika Nigam</v>
      </c>
      <c r="C28" s="12">
        <f t="shared" si="0"/>
        <v>0.34512731481481485</v>
      </c>
      <c r="D28" s="12">
        <f t="shared" si="1"/>
        <v>0.20607638888888888</v>
      </c>
      <c r="E28" s="12">
        <f t="shared" si="2"/>
        <v>2.7708333333333331E-2</v>
      </c>
      <c r="F28">
        <f t="shared" si="3"/>
        <v>71</v>
      </c>
      <c r="G28" s="15">
        <f t="shared" si="4"/>
        <v>0.55001844461584903</v>
      </c>
    </row>
    <row r="29" spans="1:7" x14ac:dyDescent="0.25">
      <c r="A29" t="str">
        <f>Break!A29</f>
        <v>Hyd_Dinesh Kumar (1008539)</v>
      </c>
      <c r="B29" s="21" t="str">
        <f t="shared" si="5"/>
        <v>Dinesh Kumar</v>
      </c>
      <c r="C29" s="12">
        <f t="shared" si="0"/>
        <v>0.34297453703703701</v>
      </c>
      <c r="D29" s="12">
        <f t="shared" si="1"/>
        <v>0.21273148148148147</v>
      </c>
      <c r="E29" s="12">
        <f t="shared" si="2"/>
        <v>2.7893518518518515E-2</v>
      </c>
      <c r="F29">
        <f t="shared" si="3"/>
        <v>70</v>
      </c>
      <c r="G29" s="15">
        <f t="shared" si="4"/>
        <v>0.51334660682347399</v>
      </c>
    </row>
    <row r="30" spans="1:7" x14ac:dyDescent="0.25">
      <c r="A30" t="str">
        <f>Break!A30</f>
        <v>Hyd_Hari Kumar (1008540)</v>
      </c>
      <c r="B30" s="21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2.8425925925925924E-2</v>
      </c>
      <c r="F30">
        <f t="shared" si="3"/>
        <v>69</v>
      </c>
      <c r="G30" s="15">
        <f t="shared" si="4"/>
        <v>0.43603379219817601</v>
      </c>
    </row>
    <row r="31" spans="1:7" x14ac:dyDescent="0.25">
      <c r="A31" t="str">
        <f>Break!A31</f>
        <v>Hyd_Heeramani Choudhary (1008541)</v>
      </c>
      <c r="B31" s="2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0</v>
      </c>
      <c r="F31">
        <f t="shared" si="3"/>
        <v>68</v>
      </c>
      <c r="G31" s="15">
        <f t="shared" si="4"/>
        <v>0.52954105200417201</v>
      </c>
    </row>
    <row r="32" spans="1:7" x14ac:dyDescent="0.25">
      <c r="A32" t="str">
        <f>Break!A32</f>
        <v>Hyd_Indra Pal (1008542)</v>
      </c>
      <c r="B32" s="21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2.7662037037037041E-2</v>
      </c>
      <c r="F32">
        <f t="shared" si="3"/>
        <v>67</v>
      </c>
      <c r="G32" s="15">
        <f t="shared" si="4"/>
        <v>0.56446852102649603</v>
      </c>
    </row>
    <row r="33" spans="1:7" x14ac:dyDescent="0.25">
      <c r="A33" t="str">
        <f>Break!A33</f>
        <v>Hyd_Indra Singh (1008543)</v>
      </c>
      <c r="B33" s="21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2.7303240740740743E-2</v>
      </c>
      <c r="F33">
        <f t="shared" si="3"/>
        <v>66</v>
      </c>
      <c r="G33" s="15">
        <f t="shared" si="4"/>
        <v>0.49789043664612898</v>
      </c>
    </row>
    <row r="34" spans="1:7" x14ac:dyDescent="0.25">
      <c r="A34" t="str">
        <f>Break!A34</f>
        <v>Hyd_Jagdish Chandra (1008544)</v>
      </c>
      <c r="B34" s="21" t="str">
        <f t="shared" si="5"/>
        <v>Jagdish Chandra</v>
      </c>
      <c r="C34" s="12">
        <f t="shared" ref="C34:C65" si="6">TIMEVALUE(VLOOKUP(A34,RData,2,0))</f>
        <v>0.34664351851851855</v>
      </c>
      <c r="D34" s="12">
        <f t="shared" ref="D34:D65" si="7">TIMEVALUE(VLOOKUP(A34,RData,3,0))</f>
        <v>0.20781249999999998</v>
      </c>
      <c r="E34" s="12">
        <f t="shared" ref="E34:E65" si="8">TIMEVALUE(VLOOKUP(A34,VData,2,0))</f>
        <v>2.9236111111111112E-2</v>
      </c>
      <c r="F34">
        <f t="shared" ref="F34:F65" si="9">VLOOKUP(A34,PData,2,0)</f>
        <v>65</v>
      </c>
      <c r="G34" s="15">
        <f t="shared" ref="G34:G65" si="10">VLOOKUP(A34,RData,6,0)</f>
        <v>0.56270450751252099</v>
      </c>
    </row>
    <row r="35" spans="1:7" x14ac:dyDescent="0.25">
      <c r="A35" t="str">
        <f>Break!A35</f>
        <v>Hyd_Jairaj Vatham (1008545)</v>
      </c>
      <c r="B35" s="21" t="str">
        <f t="shared" si="5"/>
        <v>Jairaj Vatham</v>
      </c>
      <c r="C35" s="12">
        <f t="shared" si="6"/>
        <v>0.34471064814814811</v>
      </c>
      <c r="D35" s="12">
        <f t="shared" si="7"/>
        <v>0.20981481481481482</v>
      </c>
      <c r="E35" s="12">
        <f t="shared" si="8"/>
        <v>2.71875E-2</v>
      </c>
      <c r="F35">
        <f t="shared" si="9"/>
        <v>64</v>
      </c>
      <c r="G35" s="15">
        <f t="shared" si="10"/>
        <v>0.57680556021891705</v>
      </c>
    </row>
    <row r="36" spans="1:7" x14ac:dyDescent="0.25">
      <c r="A36" t="str">
        <f>Break!A36</f>
        <v>Hyd_Janardan Mishra (1008546)</v>
      </c>
      <c r="B36" s="21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0</v>
      </c>
      <c r="F36">
        <f t="shared" si="9"/>
        <v>63</v>
      </c>
      <c r="G36" s="15">
        <f t="shared" si="10"/>
        <v>0.55728373576970502</v>
      </c>
    </row>
    <row r="37" spans="1:7" x14ac:dyDescent="0.25">
      <c r="A37" t="str">
        <f>Break!A37</f>
        <v>Hyd_Jitendra Kumar (1008547)</v>
      </c>
      <c r="B37" s="21" t="str">
        <f t="shared" si="5"/>
        <v>Jitendra Kumar</v>
      </c>
      <c r="C37" s="12">
        <f t="shared" si="6"/>
        <v>0.34128472222222223</v>
      </c>
      <c r="D37" s="12">
        <f t="shared" si="7"/>
        <v>0.17200231481481479</v>
      </c>
      <c r="E37" s="12">
        <f t="shared" si="8"/>
        <v>2.7430555555555555E-2</v>
      </c>
      <c r="F37">
        <f t="shared" si="9"/>
        <v>62</v>
      </c>
      <c r="G37" s="15">
        <f t="shared" si="10"/>
        <v>0.47590463594126198</v>
      </c>
    </row>
    <row r="38" spans="1:7" x14ac:dyDescent="0.25">
      <c r="A38" t="str">
        <f>Break!A38</f>
        <v>Hyd_John D'Costa (1008548)</v>
      </c>
      <c r="B38" s="21" t="str">
        <f t="shared" si="5"/>
        <v>John D'Costa</v>
      </c>
      <c r="C38" s="12">
        <f t="shared" si="6"/>
        <v>0.34012731481481479</v>
      </c>
      <c r="D38" s="12">
        <f t="shared" si="7"/>
        <v>0.20243055555555556</v>
      </c>
      <c r="E38" s="12">
        <f t="shared" si="8"/>
        <v>2.763888888888889E-2</v>
      </c>
      <c r="F38">
        <f t="shared" si="9"/>
        <v>61</v>
      </c>
      <c r="G38" s="15">
        <f t="shared" si="10"/>
        <v>0.55636846224520997</v>
      </c>
    </row>
    <row r="39" spans="1:7" x14ac:dyDescent="0.25">
      <c r="A39" t="str">
        <f>Break!A39</f>
        <v>Hyd_Julie S (1008549)</v>
      </c>
      <c r="B39" s="21" t="str">
        <f t="shared" si="5"/>
        <v>Julie S</v>
      </c>
      <c r="C39" s="12">
        <f t="shared" si="6"/>
        <v>0.3442824074074074</v>
      </c>
      <c r="D39" s="12">
        <f t="shared" si="7"/>
        <v>0.20569444444444443</v>
      </c>
      <c r="E39" s="12">
        <f t="shared" si="8"/>
        <v>2.7731481481481478E-2</v>
      </c>
      <c r="F39">
        <f t="shared" si="9"/>
        <v>60</v>
      </c>
      <c r="G39" s="15">
        <f t="shared" si="10"/>
        <v>0.527970147246689</v>
      </c>
    </row>
    <row r="40" spans="1:7" x14ac:dyDescent="0.25">
      <c r="A40" t="str">
        <f>Break!A40</f>
        <v>Hyd_Jyoti Tulsani (1008550)</v>
      </c>
      <c r="B40" s="21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2.7604166666666666E-2</v>
      </c>
      <c r="F40">
        <f t="shared" si="9"/>
        <v>59</v>
      </c>
      <c r="G40" s="15">
        <f t="shared" si="10"/>
        <v>0.565025741108382</v>
      </c>
    </row>
    <row r="41" spans="1:7" x14ac:dyDescent="0.25">
      <c r="A41" t="str">
        <f>Break!A41</f>
        <v>Hyd_Kahkasha Parveen (1008551)</v>
      </c>
      <c r="B41" s="2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2.9120370370370366E-2</v>
      </c>
      <c r="F41">
        <f t="shared" si="9"/>
        <v>58</v>
      </c>
      <c r="G41" s="15">
        <f t="shared" si="10"/>
        <v>0.48579278917035301</v>
      </c>
    </row>
    <row r="42" spans="1:7" x14ac:dyDescent="0.25">
      <c r="A42" t="str">
        <f>Break!A42</f>
        <v>Hyd_Kailash Nath (1008552)</v>
      </c>
      <c r="B42" s="21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2.6435185185185187E-2</v>
      </c>
      <c r="F42">
        <f t="shared" si="9"/>
        <v>57</v>
      </c>
      <c r="G42" s="15">
        <f t="shared" si="10"/>
        <v>0.572258996673499</v>
      </c>
    </row>
    <row r="43" spans="1:7" x14ac:dyDescent="0.25">
      <c r="A43" t="str">
        <f>Break!A43</f>
        <v>Hyd_Kalpana Agrawal (1008553)</v>
      </c>
      <c r="B43" s="21" t="str">
        <f t="shared" si="5"/>
        <v>Kalpana Agrawal</v>
      </c>
      <c r="C43" s="12">
        <f t="shared" si="6"/>
        <v>0.33342592592592596</v>
      </c>
      <c r="D43" s="12">
        <f t="shared" si="7"/>
        <v>0.16271990740740741</v>
      </c>
      <c r="E43" s="12">
        <f t="shared" si="8"/>
        <v>2.2905092592592591E-2</v>
      </c>
      <c r="F43">
        <f t="shared" si="9"/>
        <v>56</v>
      </c>
      <c r="G43" s="15">
        <f t="shared" si="10"/>
        <v>0.46542627048042201</v>
      </c>
    </row>
    <row r="44" spans="1:7" x14ac:dyDescent="0.25">
      <c r="A44" t="str">
        <f>Break!A44</f>
        <v>Hyd_Kamini Kumar (1008554)</v>
      </c>
      <c r="B44" s="21" t="str">
        <f t="shared" si="5"/>
        <v>Kamini Kumar</v>
      </c>
      <c r="C44" s="12">
        <f t="shared" si="6"/>
        <v>0.2094560185185185</v>
      </c>
      <c r="D44" s="12">
        <f t="shared" si="7"/>
        <v>0.13993055555555556</v>
      </c>
      <c r="E44" s="12">
        <f t="shared" si="8"/>
        <v>0</v>
      </c>
      <c r="F44">
        <f t="shared" si="9"/>
        <v>55</v>
      </c>
      <c r="G44" s="15">
        <f t="shared" si="10"/>
        <v>0.64380836602751801</v>
      </c>
    </row>
    <row r="45" spans="1:7" x14ac:dyDescent="0.25">
      <c r="A45" t="str">
        <f>Break!A45</f>
        <v>Hyd_Kamini Tiwari (1008555)</v>
      </c>
      <c r="B45" s="21" t="str">
        <f t="shared" si="5"/>
        <v>Kamini Tiwari</v>
      </c>
      <c r="C45" s="12">
        <f t="shared" si="6"/>
        <v>0.35192129629629632</v>
      </c>
      <c r="D45" s="12">
        <f t="shared" si="7"/>
        <v>0.22140046296296298</v>
      </c>
      <c r="E45" s="12">
        <f t="shared" si="8"/>
        <v>2.5138888888888891E-2</v>
      </c>
      <c r="F45">
        <f t="shared" si="9"/>
        <v>54</v>
      </c>
      <c r="G45" s="15">
        <f t="shared" si="10"/>
        <v>0.57347234098533195</v>
      </c>
    </row>
    <row r="46" spans="1:7" x14ac:dyDescent="0.25">
      <c r="A46" t="str">
        <f>Break!A46</f>
        <v>Hyd_Kavita Sharma (1008556)</v>
      </c>
      <c r="B46" s="21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1.5590277777777778E-2</v>
      </c>
      <c r="F46">
        <f t="shared" si="9"/>
        <v>53</v>
      </c>
      <c r="G46" s="15">
        <f t="shared" si="10"/>
        <v>0.64717479317021698</v>
      </c>
    </row>
    <row r="47" spans="1:7" x14ac:dyDescent="0.25">
      <c r="A47" t="str">
        <f>Break!A47</f>
        <v>Hyd_Kiran Khubchandani (1008557)</v>
      </c>
      <c r="B47" s="21" t="str">
        <f t="shared" si="5"/>
        <v>Kiran Khubchandani</v>
      </c>
      <c r="C47" s="12">
        <f t="shared" si="6"/>
        <v>0.33435185185185184</v>
      </c>
      <c r="D47" s="12">
        <f t="shared" si="7"/>
        <v>0.17586805555555554</v>
      </c>
      <c r="E47" s="12">
        <f t="shared" si="8"/>
        <v>2.7685185185185188E-2</v>
      </c>
      <c r="F47">
        <f t="shared" si="9"/>
        <v>52</v>
      </c>
      <c r="G47" s="15">
        <f t="shared" si="10"/>
        <v>0.50443090556632497</v>
      </c>
    </row>
    <row r="48" spans="1:7" x14ac:dyDescent="0.25">
      <c r="A48" t="str">
        <f>Break!A48</f>
        <v>Hyd_Kisun Sah (1008558)</v>
      </c>
      <c r="B48" s="21" t="str">
        <f t="shared" si="5"/>
        <v>Kisun Sah</v>
      </c>
      <c r="C48" s="12">
        <f t="shared" si="6"/>
        <v>0.34831018518518514</v>
      </c>
      <c r="D48" s="12">
        <f t="shared" si="7"/>
        <v>0.21436342592592594</v>
      </c>
      <c r="E48" s="12">
        <f t="shared" si="8"/>
        <v>2.7303240740740743E-2</v>
      </c>
      <c r="F48">
        <f t="shared" si="9"/>
        <v>51</v>
      </c>
      <c r="G48" s="15">
        <f t="shared" si="10"/>
        <v>0.55280122283511701</v>
      </c>
    </row>
    <row r="49" spans="1:7" x14ac:dyDescent="0.25">
      <c r="A49" t="str">
        <f>Break!A49</f>
        <v>Hyd_Krishana Kumar (1008559)</v>
      </c>
      <c r="B49" s="21" t="str">
        <f t="shared" si="5"/>
        <v>Krishana Kumar</v>
      </c>
      <c r="C49" s="12">
        <f t="shared" si="6"/>
        <v>0.34407407407407403</v>
      </c>
      <c r="D49" s="12">
        <f t="shared" si="7"/>
        <v>0.19798611111111111</v>
      </c>
      <c r="E49" s="12">
        <f t="shared" si="8"/>
        <v>2.7743055555555559E-2</v>
      </c>
      <c r="F49">
        <f t="shared" si="9"/>
        <v>50</v>
      </c>
      <c r="G49" s="15">
        <f t="shared" si="10"/>
        <v>0.55493137782561897</v>
      </c>
    </row>
    <row r="50" spans="1:7" x14ac:dyDescent="0.25">
      <c r="A50" t="str">
        <f>Break!A50</f>
        <v>Hyd_Kunj Bihari (1008560)</v>
      </c>
      <c r="B50" s="21" t="str">
        <f t="shared" si="5"/>
        <v>Kunj Bihari</v>
      </c>
      <c r="C50" s="12">
        <f t="shared" si="6"/>
        <v>0.33285879629629628</v>
      </c>
      <c r="D50" s="12">
        <f t="shared" si="7"/>
        <v>0.19598379629629628</v>
      </c>
      <c r="E50" s="12">
        <f t="shared" si="8"/>
        <v>2.7777777777777776E-2</v>
      </c>
      <c r="F50">
        <f t="shared" si="9"/>
        <v>49</v>
      </c>
      <c r="G50" s="15">
        <f t="shared" si="10"/>
        <v>0.55217497131332804</v>
      </c>
    </row>
    <row r="51" spans="1:7" x14ac:dyDescent="0.25">
      <c r="A51" t="str">
        <f>Break!A51</f>
        <v>Hyd_Leena George (1008561)</v>
      </c>
      <c r="B51" s="2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0</v>
      </c>
      <c r="F51">
        <f t="shared" si="9"/>
        <v>48</v>
      </c>
      <c r="G51" s="15">
        <f t="shared" si="10"/>
        <v>0.58819557756147001</v>
      </c>
    </row>
    <row r="52" spans="1:7" x14ac:dyDescent="0.25">
      <c r="A52" t="str">
        <f>Break!A52</f>
        <v>Hyd_Lilly Lucy (1008562)</v>
      </c>
      <c r="B52" s="21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1.4490740740740742E-2</v>
      </c>
      <c r="F52">
        <f t="shared" si="9"/>
        <v>47</v>
      </c>
      <c r="G52" s="15">
        <f t="shared" si="10"/>
        <v>0.55534863732407003</v>
      </c>
    </row>
    <row r="53" spans="1:7" x14ac:dyDescent="0.25">
      <c r="A53" t="str">
        <f>Break!A53</f>
        <v>Hyd_Mangal Singh (1008563)</v>
      </c>
      <c r="B53" s="21" t="str">
        <f t="shared" si="5"/>
        <v>Mangal Singh</v>
      </c>
      <c r="C53" s="12">
        <f t="shared" si="6"/>
        <v>0.33348379629629626</v>
      </c>
      <c r="D53" s="12">
        <f t="shared" si="7"/>
        <v>0.19890046296296296</v>
      </c>
      <c r="E53" s="12">
        <f t="shared" si="8"/>
        <v>2.7766203703703706E-2</v>
      </c>
      <c r="F53">
        <f t="shared" si="9"/>
        <v>46</v>
      </c>
      <c r="G53" s="15">
        <f t="shared" si="10"/>
        <v>0.55815083469267301</v>
      </c>
    </row>
    <row r="54" spans="1:7" x14ac:dyDescent="0.25">
      <c r="A54" t="str">
        <f>Break!A54</f>
        <v>Hyd_Manisha Shrivastava (1008564)</v>
      </c>
      <c r="B54" s="21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2.7754629629629629E-2</v>
      </c>
      <c r="F54">
        <f t="shared" si="9"/>
        <v>45</v>
      </c>
      <c r="G54" s="15">
        <f t="shared" si="10"/>
        <v>0.53002824185919895</v>
      </c>
    </row>
    <row r="55" spans="1:7" x14ac:dyDescent="0.25">
      <c r="A55" t="str">
        <f>Break!A55</f>
        <v>Hyd_Manjusha Sinha (1008565)</v>
      </c>
      <c r="B55" s="21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3.0902777777777779E-2</v>
      </c>
      <c r="F55">
        <f t="shared" si="9"/>
        <v>44</v>
      </c>
      <c r="G55" s="15">
        <f t="shared" si="10"/>
        <v>0.54639905548996504</v>
      </c>
    </row>
    <row r="56" spans="1:7" x14ac:dyDescent="0.25">
      <c r="A56" t="str">
        <f>Break!A56</f>
        <v>Hyd_ManjuTiwari Lab (1008566)</v>
      </c>
      <c r="B56" s="21" t="str">
        <f t="shared" si="5"/>
        <v>ManjuTiwari Lab</v>
      </c>
      <c r="C56" s="12">
        <f t="shared" si="6"/>
        <v>0.32046296296296295</v>
      </c>
      <c r="D56" s="12">
        <f t="shared" si="7"/>
        <v>0.18484953703703702</v>
      </c>
      <c r="E56" s="12">
        <f t="shared" si="8"/>
        <v>2.7569444444444448E-2</v>
      </c>
      <c r="F56">
        <f t="shared" si="9"/>
        <v>43</v>
      </c>
      <c r="G56" s="15">
        <f t="shared" si="10"/>
        <v>0.52849609939323905</v>
      </c>
    </row>
    <row r="57" spans="1:7" x14ac:dyDescent="0.25">
      <c r="A57" t="str">
        <f>Break!A57</f>
        <v>Hyd_Manoj Kumar (1008567)</v>
      </c>
      <c r="B57" s="21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2.7708333333333331E-2</v>
      </c>
      <c r="F57">
        <f t="shared" si="9"/>
        <v>42</v>
      </c>
      <c r="G57" s="15">
        <f t="shared" si="10"/>
        <v>0.53279711551795905</v>
      </c>
    </row>
    <row r="58" spans="1:7" x14ac:dyDescent="0.25">
      <c r="A58" t="str">
        <f>Break!A58</f>
        <v>Hyd_Manoj Kumar (1008568)</v>
      </c>
      <c r="B58" s="21" t="str">
        <f t="shared" si="5"/>
        <v>Manoj Kumar</v>
      </c>
      <c r="C58" s="12">
        <f t="shared" si="6"/>
        <v>0.33012731481481478</v>
      </c>
      <c r="D58" s="12">
        <f t="shared" si="7"/>
        <v>0.18739583333333332</v>
      </c>
      <c r="E58" s="12">
        <f t="shared" si="8"/>
        <v>2.7731481481481478E-2</v>
      </c>
      <c r="F58">
        <f t="shared" si="9"/>
        <v>41</v>
      </c>
      <c r="G58" s="15">
        <f t="shared" si="10"/>
        <v>0.53150089401535605</v>
      </c>
    </row>
    <row r="59" spans="1:7" x14ac:dyDescent="0.25">
      <c r="A59" t="str">
        <f>Break!A59</f>
        <v>Hyd_Masroor Adil (1008569)</v>
      </c>
      <c r="B59" s="21" t="str">
        <f t="shared" si="5"/>
        <v>Masroor Adil</v>
      </c>
      <c r="C59" s="12">
        <f t="shared" si="6"/>
        <v>0.34032407407407406</v>
      </c>
      <c r="D59" s="12">
        <f t="shared" si="7"/>
        <v>0.21151620370370372</v>
      </c>
      <c r="E59" s="12">
        <f t="shared" si="8"/>
        <v>2.7719907407407405E-2</v>
      </c>
      <c r="F59">
        <f t="shared" si="9"/>
        <v>40</v>
      </c>
      <c r="G59" s="15">
        <f t="shared" si="10"/>
        <v>0.58954564004897303</v>
      </c>
    </row>
    <row r="60" spans="1:7" x14ac:dyDescent="0.25">
      <c r="A60" t="str">
        <f>Break!A60</f>
        <v>Hyd_Meena Zinjare (1008570)</v>
      </c>
      <c r="B60" s="21" t="str">
        <f t="shared" si="5"/>
        <v>Meena Zinjare</v>
      </c>
      <c r="C60" s="12">
        <f t="shared" si="6"/>
        <v>0.33714120370370365</v>
      </c>
      <c r="D60" s="12">
        <f t="shared" si="7"/>
        <v>0.13162037037037036</v>
      </c>
      <c r="E60" s="12">
        <f t="shared" si="8"/>
        <v>2.8622685185185185E-2</v>
      </c>
      <c r="F60">
        <f t="shared" si="9"/>
        <v>39</v>
      </c>
      <c r="G60" s="15">
        <f t="shared" si="10"/>
        <v>0.34903360911806097</v>
      </c>
    </row>
    <row r="61" spans="1:7" x14ac:dyDescent="0.25">
      <c r="A61" t="str">
        <f>Break!A61</f>
        <v>Hyd_Mehnaz Khan (1008571)</v>
      </c>
      <c r="B61" s="21" t="str">
        <f t="shared" si="5"/>
        <v>Mehnaz Khan</v>
      </c>
      <c r="C61" s="12">
        <f t="shared" si="6"/>
        <v>0.34364583333333337</v>
      </c>
      <c r="D61" s="12">
        <f t="shared" si="7"/>
        <v>0.17246527777777776</v>
      </c>
      <c r="E61" s="12">
        <f t="shared" si="8"/>
        <v>2.7743055555555559E-2</v>
      </c>
      <c r="F61">
        <f t="shared" si="9"/>
        <v>38</v>
      </c>
      <c r="G61" s="15">
        <f t="shared" si="10"/>
        <v>0.47933717288067101</v>
      </c>
    </row>
    <row r="62" spans="1:7" x14ac:dyDescent="0.25">
      <c r="A62" t="str">
        <f>Break!A62</f>
        <v>Hyd_Mercy Thampi (1008572)</v>
      </c>
      <c r="B62" s="21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0</v>
      </c>
      <c r="F62">
        <f t="shared" si="9"/>
        <v>37</v>
      </c>
      <c r="G62" s="15">
        <f t="shared" si="10"/>
        <v>0.62762080802746201</v>
      </c>
    </row>
    <row r="63" spans="1:7" x14ac:dyDescent="0.25">
      <c r="A63" t="str">
        <f>Break!A63</f>
        <v>Hyd_Miny Mole (1008573)</v>
      </c>
      <c r="B63" s="21" t="str">
        <f t="shared" si="5"/>
        <v>Miny Mole</v>
      </c>
      <c r="C63" s="12">
        <f t="shared" si="6"/>
        <v>0.3417824074074074</v>
      </c>
      <c r="D63" s="12">
        <f t="shared" si="7"/>
        <v>0.17645833333333336</v>
      </c>
      <c r="E63" s="12">
        <f t="shared" si="8"/>
        <v>2.7777777777777776E-2</v>
      </c>
      <c r="F63">
        <f t="shared" si="9"/>
        <v>36</v>
      </c>
      <c r="G63" s="15">
        <f t="shared" si="10"/>
        <v>0.47561801557737898</v>
      </c>
    </row>
    <row r="64" spans="1:7" x14ac:dyDescent="0.25">
      <c r="A64" t="str">
        <f>Break!A64</f>
        <v>Hyd_Mohd Rafi (1008574)</v>
      </c>
      <c r="B64" s="21" t="str">
        <f t="shared" si="5"/>
        <v>Mohd Rafi</v>
      </c>
      <c r="C64" s="12">
        <f t="shared" si="6"/>
        <v>0.33370370370370367</v>
      </c>
      <c r="D64" s="12">
        <f t="shared" si="7"/>
        <v>0.16336805555555556</v>
      </c>
      <c r="E64" s="12">
        <f t="shared" si="8"/>
        <v>2.7662037037037041E-2</v>
      </c>
      <c r="F64">
        <f t="shared" si="9"/>
        <v>35</v>
      </c>
      <c r="G64" s="15">
        <f t="shared" si="10"/>
        <v>0.43635543840177599</v>
      </c>
    </row>
    <row r="65" spans="1:7" x14ac:dyDescent="0.25">
      <c r="A65" t="str">
        <f>Break!A65</f>
        <v>Hyd_Mubeen Khan (1008575)</v>
      </c>
      <c r="B65" s="21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1.5428240740740741E-2</v>
      </c>
      <c r="F65">
        <f t="shared" si="9"/>
        <v>34</v>
      </c>
      <c r="G65" s="15">
        <f t="shared" si="10"/>
        <v>0.451270369721395</v>
      </c>
    </row>
    <row r="66" spans="1:7" x14ac:dyDescent="0.25">
      <c r="A66" t="str">
        <f>Break!A66</f>
        <v>Hyd_Mukesh Nagar (1008576)</v>
      </c>
      <c r="B66" s="21" t="str">
        <f t="shared" si="5"/>
        <v>Mukesh Nagar</v>
      </c>
      <c r="C66" s="12">
        <f t="shared" ref="C66:C97" si="11">TIMEVALUE(VLOOKUP(A66,RData,2,0))</f>
        <v>0.20910879629629631</v>
      </c>
      <c r="D66" s="12">
        <f t="shared" ref="D66:D97" si="12">TIMEVALUE(VLOOKUP(A66,RData,3,0))</f>
        <v>0.13449074074074074</v>
      </c>
      <c r="E66" s="12">
        <f t="shared" ref="E66:E97" si="13">TIMEVALUE(VLOOKUP(A66,VData,2,0))</f>
        <v>0</v>
      </c>
      <c r="F66">
        <f t="shared" ref="F66:F97" si="14">VLOOKUP(A66,PData,2,0)</f>
        <v>33</v>
      </c>
      <c r="G66" s="15">
        <f t="shared" ref="G66:G97" si="15">VLOOKUP(A66,RData,6,0)</f>
        <v>0.61244257486024201</v>
      </c>
    </row>
    <row r="67" spans="1:7" x14ac:dyDescent="0.25">
      <c r="A67" t="str">
        <f>Break!A67</f>
        <v>Hyd_Nandu Kumar (1008577)</v>
      </c>
      <c r="B67" s="21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2.763888888888889E-2</v>
      </c>
      <c r="F67">
        <f t="shared" si="14"/>
        <v>32</v>
      </c>
      <c r="G67" s="15">
        <f t="shared" si="15"/>
        <v>0.51755872288115901</v>
      </c>
    </row>
    <row r="68" spans="1:7" x14ac:dyDescent="0.25">
      <c r="A68" t="str">
        <f>Break!A68</f>
        <v>Hyd_Narayan Singh (1008578)</v>
      </c>
      <c r="B68" s="21" t="str">
        <f t="shared" si="16"/>
        <v>Narayan Singh</v>
      </c>
      <c r="C68" s="12">
        <f t="shared" si="11"/>
        <v>0.34686342592592595</v>
      </c>
      <c r="D68" s="12">
        <f t="shared" si="12"/>
        <v>0.2043865740740741</v>
      </c>
      <c r="E68" s="12">
        <f t="shared" si="13"/>
        <v>2.9155092592592594E-2</v>
      </c>
      <c r="F68">
        <f t="shared" si="14"/>
        <v>31</v>
      </c>
      <c r="G68" s="15">
        <f t="shared" si="15"/>
        <v>0.55550735760285597</v>
      </c>
    </row>
    <row r="69" spans="1:7" x14ac:dyDescent="0.25">
      <c r="A69" t="str">
        <f>Break!A69</f>
        <v>Hyd_Neeraj Saxena (1008579)</v>
      </c>
      <c r="B69" s="21" t="str">
        <f t="shared" si="16"/>
        <v>Neeraj Saxena</v>
      </c>
      <c r="C69" s="12">
        <f t="shared" si="11"/>
        <v>0.3480671296296296</v>
      </c>
      <c r="D69" s="12">
        <f t="shared" si="12"/>
        <v>0.19177083333333333</v>
      </c>
      <c r="E69" s="12">
        <f t="shared" si="13"/>
        <v>2.7650462962962963E-2</v>
      </c>
      <c r="F69">
        <f t="shared" si="14"/>
        <v>30</v>
      </c>
      <c r="G69" s="15">
        <f t="shared" si="15"/>
        <v>0.45535862734013899</v>
      </c>
    </row>
    <row r="70" spans="1:7" x14ac:dyDescent="0.25">
      <c r="A70" t="str">
        <f>Break!A70</f>
        <v>Hyd_Neeru Mehta (1008580)</v>
      </c>
      <c r="B70" s="21" t="str">
        <f t="shared" si="16"/>
        <v>Neeru Mehta</v>
      </c>
      <c r="C70" s="12">
        <f t="shared" si="11"/>
        <v>0.33495370370370375</v>
      </c>
      <c r="D70" s="12">
        <f t="shared" si="12"/>
        <v>0.19739583333333333</v>
      </c>
      <c r="E70" s="12">
        <f t="shared" si="13"/>
        <v>2.7766203703703706E-2</v>
      </c>
      <c r="F70">
        <f t="shared" si="14"/>
        <v>29</v>
      </c>
      <c r="G70" s="15">
        <f t="shared" si="15"/>
        <v>0.53445058742225304</v>
      </c>
    </row>
    <row r="71" spans="1:7" x14ac:dyDescent="0.25">
      <c r="A71" t="str">
        <f>Break!A71</f>
        <v>Hyd_Nikita Panwalkar (1008581)</v>
      </c>
      <c r="B71" s="2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2.7824074074074074E-2</v>
      </c>
      <c r="F71">
        <f t="shared" si="14"/>
        <v>28</v>
      </c>
      <c r="G71" s="15">
        <f t="shared" si="15"/>
        <v>0.55914916459773201</v>
      </c>
    </row>
    <row r="72" spans="1:7" x14ac:dyDescent="0.25">
      <c r="A72" t="str">
        <f>Break!A72</f>
        <v>Hyd_Nitin Bhatia (1008582)</v>
      </c>
      <c r="B72" s="21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2.7708333333333331E-2</v>
      </c>
      <c r="F72">
        <f t="shared" si="14"/>
        <v>29</v>
      </c>
      <c r="G72" s="15">
        <f t="shared" si="15"/>
        <v>0.56847106148351101</v>
      </c>
    </row>
    <row r="73" spans="1:7" x14ac:dyDescent="0.25">
      <c r="A73" t="str">
        <f>Break!A73</f>
        <v>Hyd_Om Prakash (1008583)</v>
      </c>
      <c r="B73" s="21" t="str">
        <f t="shared" si="16"/>
        <v>Om Prakash</v>
      </c>
      <c r="C73" s="12">
        <f t="shared" si="11"/>
        <v>0.33037037037037037</v>
      </c>
      <c r="D73" s="12">
        <f t="shared" si="12"/>
        <v>0.1849652777777778</v>
      </c>
      <c r="E73" s="12">
        <f t="shared" si="13"/>
        <v>2.763888888888889E-2</v>
      </c>
      <c r="F73">
        <f t="shared" si="14"/>
        <v>30</v>
      </c>
      <c r="G73" s="15">
        <f t="shared" si="15"/>
        <v>0.47509108744394601</v>
      </c>
    </row>
    <row r="74" spans="1:7" x14ac:dyDescent="0.25">
      <c r="A74" t="str">
        <f>Break!A74</f>
        <v>Hyd_Omprakash O (1008584)</v>
      </c>
      <c r="B74" s="21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2.7430555555555555E-2</v>
      </c>
      <c r="F74">
        <f t="shared" si="14"/>
        <v>31</v>
      </c>
      <c r="G74" s="15">
        <f t="shared" si="15"/>
        <v>0.47578531804104401</v>
      </c>
    </row>
    <row r="75" spans="1:7" x14ac:dyDescent="0.25">
      <c r="A75" t="str">
        <f>Break!A75</f>
        <v>Hyd_Owais Mohd (1008585)</v>
      </c>
      <c r="B75" s="21" t="str">
        <f t="shared" si="16"/>
        <v>Owais Mohd</v>
      </c>
      <c r="C75" s="12">
        <f t="shared" si="11"/>
        <v>0.33415509259259263</v>
      </c>
      <c r="D75" s="12">
        <f t="shared" si="12"/>
        <v>0.16863425925925926</v>
      </c>
      <c r="E75" s="12">
        <f t="shared" si="13"/>
        <v>2.7731481481481478E-2</v>
      </c>
      <c r="F75">
        <f t="shared" si="14"/>
        <v>32</v>
      </c>
      <c r="G75" s="15">
        <f t="shared" si="15"/>
        <v>0.46898271622042897</v>
      </c>
    </row>
    <row r="76" spans="1:7" x14ac:dyDescent="0.25">
      <c r="A76" t="str">
        <f>Break!A76</f>
        <v>Hyd_Pankaj Shelkey (1008586)</v>
      </c>
      <c r="B76" s="21" t="str">
        <f t="shared" si="16"/>
        <v>Pankaj Shelkey</v>
      </c>
      <c r="C76" s="12">
        <f t="shared" si="11"/>
        <v>0.34437500000000004</v>
      </c>
      <c r="D76" s="12">
        <f t="shared" si="12"/>
        <v>0.18534722222222222</v>
      </c>
      <c r="E76" s="12">
        <f t="shared" si="13"/>
        <v>2.7766203703703706E-2</v>
      </c>
      <c r="F76">
        <f t="shared" si="14"/>
        <v>33</v>
      </c>
      <c r="G76" s="15">
        <f t="shared" si="15"/>
        <v>0.51361161524500898</v>
      </c>
    </row>
    <row r="77" spans="1:7" x14ac:dyDescent="0.25">
      <c r="A77" t="str">
        <f>Break!A77</f>
        <v>Hyd_Partha Sarathi (1008587)</v>
      </c>
      <c r="B77" s="21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2.8657407407407406E-2</v>
      </c>
      <c r="F77">
        <f t="shared" si="14"/>
        <v>34</v>
      </c>
      <c r="G77" s="15">
        <f t="shared" si="15"/>
        <v>0.525112224318522</v>
      </c>
    </row>
    <row r="78" spans="1:7" x14ac:dyDescent="0.25">
      <c r="A78" t="str">
        <f>Break!A78</f>
        <v>Hyd_Prabha Desikan (1008588)</v>
      </c>
      <c r="B78" s="21" t="str">
        <f t="shared" si="16"/>
        <v>Prabha Desikan</v>
      </c>
      <c r="C78" s="12">
        <f t="shared" si="11"/>
        <v>0.34848379629629633</v>
      </c>
      <c r="D78" s="12">
        <f t="shared" si="12"/>
        <v>0.12767361111111111</v>
      </c>
      <c r="E78" s="12">
        <f t="shared" si="13"/>
        <v>2.7118055555555552E-2</v>
      </c>
      <c r="F78">
        <f t="shared" si="14"/>
        <v>35</v>
      </c>
      <c r="G78" s="15">
        <f t="shared" si="15"/>
        <v>0.348600086352918</v>
      </c>
    </row>
    <row r="79" spans="1:7" x14ac:dyDescent="0.25">
      <c r="A79" t="str">
        <f>Break!A79</f>
        <v>Hyd_Pramod Tiwari (1008589)</v>
      </c>
      <c r="B79" s="21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2.7766203703703706E-2</v>
      </c>
      <c r="F79">
        <f t="shared" si="14"/>
        <v>36</v>
      </c>
      <c r="G79" s="15">
        <f t="shared" si="15"/>
        <v>0.314709762532982</v>
      </c>
    </row>
    <row r="80" spans="1:7" x14ac:dyDescent="0.25">
      <c r="A80" t="str">
        <f>Break!A80</f>
        <v>Hyd_Prasannakumari S (1008590)</v>
      </c>
      <c r="B80" s="21" t="str">
        <f t="shared" si="16"/>
        <v>Prasannakumari S</v>
      </c>
      <c r="C80" s="12">
        <f t="shared" si="11"/>
        <v>0.33891203703703704</v>
      </c>
      <c r="D80" s="12">
        <f t="shared" si="12"/>
        <v>0.21581018518518516</v>
      </c>
      <c r="E80" s="12">
        <f t="shared" si="13"/>
        <v>2.7662037037037041E-2</v>
      </c>
      <c r="F80">
        <f t="shared" si="14"/>
        <v>37</v>
      </c>
      <c r="G80" s="15">
        <f t="shared" si="15"/>
        <v>0.55600710333993597</v>
      </c>
    </row>
    <row r="81" spans="1:7" x14ac:dyDescent="0.25">
      <c r="A81" t="str">
        <f>Break!A81</f>
        <v>Hyd_Praveen Kumar (1008591)</v>
      </c>
      <c r="B81" s="2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2.8773148148148145E-2</v>
      </c>
      <c r="F81">
        <f t="shared" si="14"/>
        <v>38</v>
      </c>
      <c r="G81" s="15">
        <f t="shared" si="15"/>
        <v>0.46221628838451301</v>
      </c>
    </row>
    <row r="82" spans="1:7" x14ac:dyDescent="0.25">
      <c r="A82" t="str">
        <f>Break!A82</f>
        <v>Hyd_Rachel Mathew (1008592)</v>
      </c>
      <c r="B82" s="21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2.5578703703703704E-2</v>
      </c>
      <c r="F82">
        <f t="shared" si="14"/>
        <v>39</v>
      </c>
      <c r="G82" s="15">
        <f t="shared" si="15"/>
        <v>0.39075685654008402</v>
      </c>
    </row>
    <row r="83" spans="1:7" x14ac:dyDescent="0.25">
      <c r="A83" t="str">
        <f>Break!A83</f>
        <v>Hyd_Rachita Anupam (1008593)</v>
      </c>
      <c r="B83" s="21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3.0127314814814815E-2</v>
      </c>
      <c r="F83">
        <f t="shared" si="14"/>
        <v>40</v>
      </c>
      <c r="G83" s="15">
        <f t="shared" si="15"/>
        <v>0.54713623850130899</v>
      </c>
    </row>
    <row r="84" spans="1:7" x14ac:dyDescent="0.25">
      <c r="A84" t="str">
        <f>Break!A84</f>
        <v>Hyd_Rachna Chauhan (1008594)</v>
      </c>
      <c r="B84" s="21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0</v>
      </c>
      <c r="F84">
        <f t="shared" si="14"/>
        <v>41</v>
      </c>
      <c r="G84" s="15">
        <f t="shared" si="15"/>
        <v>0.61457229509993805</v>
      </c>
    </row>
    <row r="85" spans="1:7" x14ac:dyDescent="0.25">
      <c r="A85" t="str">
        <f>Break!A85</f>
        <v>Hyd_Raj Kumar (1008595)</v>
      </c>
      <c r="B85" s="21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2.7245370370370368E-2</v>
      </c>
      <c r="F85">
        <f t="shared" si="14"/>
        <v>42</v>
      </c>
      <c r="G85" s="15">
        <f t="shared" si="15"/>
        <v>0.55335578460387103</v>
      </c>
    </row>
    <row r="86" spans="1:7" x14ac:dyDescent="0.25">
      <c r="A86" t="str">
        <f>Break!A86</f>
        <v>Hyd_Rajeev Garg (1008596)</v>
      </c>
      <c r="B86" s="21" t="str">
        <f t="shared" si="16"/>
        <v>Rajeev Garg</v>
      </c>
      <c r="C86" s="12">
        <f t="shared" si="11"/>
        <v>0.33611111111111108</v>
      </c>
      <c r="D86" s="12">
        <f t="shared" si="12"/>
        <v>0.21214120370370371</v>
      </c>
      <c r="E86" s="12">
        <f t="shared" si="13"/>
        <v>2.7731481481481478E-2</v>
      </c>
      <c r="F86">
        <f t="shared" si="14"/>
        <v>43</v>
      </c>
      <c r="G86" s="15">
        <f t="shared" si="15"/>
        <v>0.611363636363636</v>
      </c>
    </row>
    <row r="87" spans="1:7" x14ac:dyDescent="0.25">
      <c r="A87" t="str">
        <f>Break!A87</f>
        <v>Hyd_Rajeev Kumar (1008597)</v>
      </c>
      <c r="B87" s="21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2.7546296296296294E-2</v>
      </c>
      <c r="F87">
        <f t="shared" si="14"/>
        <v>44</v>
      </c>
      <c r="G87" s="15">
        <f t="shared" si="15"/>
        <v>0.51217732689434703</v>
      </c>
    </row>
    <row r="88" spans="1:7" x14ac:dyDescent="0.25">
      <c r="A88" t="str">
        <f>Break!A88</f>
        <v>Hyd_Rajendra Gupta (1008598)</v>
      </c>
      <c r="B88" s="21" t="str">
        <f t="shared" si="16"/>
        <v>Rajendra Gupta</v>
      </c>
      <c r="C88" s="12">
        <f t="shared" si="11"/>
        <v>0.35135416666666663</v>
      </c>
      <c r="D88" s="12">
        <f t="shared" si="12"/>
        <v>0.20708333333333331</v>
      </c>
      <c r="E88" s="12">
        <f t="shared" si="13"/>
        <v>2.7835648148148151E-2</v>
      </c>
      <c r="F88">
        <f t="shared" si="14"/>
        <v>45</v>
      </c>
      <c r="G88" s="15">
        <f t="shared" si="15"/>
        <v>0.56029910728991705</v>
      </c>
    </row>
    <row r="89" spans="1:7" x14ac:dyDescent="0.25">
      <c r="A89" t="str">
        <f>Break!A89</f>
        <v>Hyd_Rajendra Kumar (1008599)</v>
      </c>
      <c r="B89" s="21" t="str">
        <f t="shared" si="16"/>
        <v>Rajendra Kumar</v>
      </c>
      <c r="C89" s="12">
        <f t="shared" si="11"/>
        <v>0.34356481481481477</v>
      </c>
      <c r="D89" s="12">
        <f t="shared" si="12"/>
        <v>0.16344907407407408</v>
      </c>
      <c r="E89" s="12">
        <f t="shared" si="13"/>
        <v>2.8506944444444442E-2</v>
      </c>
      <c r="F89">
        <f t="shared" si="14"/>
        <v>46</v>
      </c>
      <c r="G89" s="15">
        <f t="shared" si="15"/>
        <v>0.42891793558819602</v>
      </c>
    </row>
    <row r="90" spans="1:7" x14ac:dyDescent="0.25">
      <c r="A90" t="str">
        <f>Break!A90</f>
        <v>Hyd_Rajendra Prasad (1008600)</v>
      </c>
      <c r="B90" s="21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2.7627314814814813E-2</v>
      </c>
      <c r="F90">
        <f t="shared" si="14"/>
        <v>47</v>
      </c>
      <c r="G90" s="15">
        <f t="shared" si="15"/>
        <v>9.4547987000066294E-2</v>
      </c>
    </row>
    <row r="91" spans="1:7" x14ac:dyDescent="0.25">
      <c r="A91" t="str">
        <f>Break!A91</f>
        <v>Hyd_Rajesh Kumar (1008601)</v>
      </c>
      <c r="B91" s="21" t="str">
        <f t="shared" si="16"/>
        <v>Rajesh Kumar</v>
      </c>
      <c r="C91" s="12">
        <f t="shared" si="11"/>
        <v>0.33378472222222227</v>
      </c>
      <c r="D91" s="12">
        <f t="shared" si="12"/>
        <v>0.21655092592592592</v>
      </c>
      <c r="E91" s="12">
        <f t="shared" si="13"/>
        <v>2.75E-2</v>
      </c>
      <c r="F91">
        <f t="shared" si="14"/>
        <v>48</v>
      </c>
      <c r="G91" s="15">
        <f t="shared" si="15"/>
        <v>0.61021533340268397</v>
      </c>
    </row>
    <row r="92" spans="1:7" x14ac:dyDescent="0.25">
      <c r="A92" t="str">
        <f>Break!A92</f>
        <v>Hyd_Rajesh Kumar (1008602)</v>
      </c>
      <c r="B92" s="21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2.7766203703703706E-2</v>
      </c>
      <c r="F92">
        <f t="shared" si="14"/>
        <v>49</v>
      </c>
      <c r="G92" s="15">
        <f t="shared" si="15"/>
        <v>0.51260926353863201</v>
      </c>
    </row>
    <row r="93" spans="1:7" x14ac:dyDescent="0.25">
      <c r="A93" t="str">
        <f>Break!A93</f>
        <v>Hyd_Rajesh Sharma (1008603)</v>
      </c>
      <c r="B93" s="21" t="str">
        <f t="shared" si="16"/>
        <v>Rajesh Sharma</v>
      </c>
      <c r="C93" s="12">
        <f t="shared" si="11"/>
        <v>0.21146990740740743</v>
      </c>
      <c r="D93" s="12">
        <f t="shared" si="12"/>
        <v>0.14190972222222223</v>
      </c>
      <c r="E93" s="12">
        <f t="shared" si="13"/>
        <v>0</v>
      </c>
      <c r="F93">
        <f t="shared" si="14"/>
        <v>50</v>
      </c>
      <c r="G93" s="15">
        <f t="shared" si="15"/>
        <v>0.62426796562859199</v>
      </c>
    </row>
    <row r="94" spans="1:7" x14ac:dyDescent="0.25">
      <c r="A94" t="str">
        <f>Break!A94</f>
        <v>Hyd_Raji Abraham (1008604)</v>
      </c>
      <c r="B94" s="21" t="str">
        <f t="shared" si="16"/>
        <v>Raji Abraham</v>
      </c>
      <c r="C94" s="12">
        <f t="shared" si="11"/>
        <v>0.34075231481481483</v>
      </c>
      <c r="D94" s="12">
        <f t="shared" si="12"/>
        <v>0.1976273148148148</v>
      </c>
      <c r="E94" s="12">
        <f t="shared" si="13"/>
        <v>2.7615740740740743E-2</v>
      </c>
      <c r="F94">
        <f t="shared" si="14"/>
        <v>51</v>
      </c>
      <c r="G94" s="15">
        <f t="shared" si="15"/>
        <v>0.54373153085832704</v>
      </c>
    </row>
    <row r="95" spans="1:7" x14ac:dyDescent="0.25">
      <c r="A95" t="str">
        <f>Break!A95</f>
        <v>Hyd_Rajshree Dhabekar (1008605)</v>
      </c>
      <c r="B95" s="21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2.7835648148148151E-2</v>
      </c>
      <c r="F95">
        <f t="shared" si="14"/>
        <v>52</v>
      </c>
      <c r="G95" s="15">
        <f t="shared" si="15"/>
        <v>0</v>
      </c>
    </row>
    <row r="96" spans="1:7" x14ac:dyDescent="0.25">
      <c r="A96" t="str">
        <f>Break!A96</f>
        <v>Hyd_Rakhi Jodhani (1008606)</v>
      </c>
      <c r="B96" s="21" t="str">
        <f t="shared" si="16"/>
        <v>Rakhi Jodhani</v>
      </c>
      <c r="C96" s="12">
        <f t="shared" si="11"/>
        <v>0.33532407407407411</v>
      </c>
      <c r="D96" s="12">
        <f t="shared" si="12"/>
        <v>5.0763888888888886E-2</v>
      </c>
      <c r="E96" s="12">
        <f t="shared" si="13"/>
        <v>2.7280092592592592E-2</v>
      </c>
      <c r="F96">
        <f t="shared" si="14"/>
        <v>53</v>
      </c>
      <c r="G96" s="15">
        <f t="shared" si="15"/>
        <v>0.14431174927516199</v>
      </c>
    </row>
    <row r="97" spans="1:7" x14ac:dyDescent="0.25">
      <c r="A97" t="str">
        <f>Break!A97</f>
        <v>Hyd_Ramji Prasad (1008607)</v>
      </c>
      <c r="B97" s="21" t="str">
        <f t="shared" si="16"/>
        <v>Ramji Prasad</v>
      </c>
      <c r="C97" s="12">
        <f t="shared" si="11"/>
        <v>0.34682870370370367</v>
      </c>
      <c r="D97" s="12">
        <f t="shared" si="12"/>
        <v>0.20351851851851852</v>
      </c>
      <c r="E97" s="12">
        <f t="shared" si="13"/>
        <v>2.7465277777777772E-2</v>
      </c>
      <c r="F97">
        <f t="shared" si="14"/>
        <v>54</v>
      </c>
      <c r="G97" s="15">
        <f t="shared" si="15"/>
        <v>0.55259293866381898</v>
      </c>
    </row>
    <row r="98" spans="1:7" x14ac:dyDescent="0.25">
      <c r="A98" t="str">
        <f>Break!A98</f>
        <v>Del_Rashid (1008608)</v>
      </c>
      <c r="B98" s="21" t="str">
        <f t="shared" si="16"/>
        <v>Rashid</v>
      </c>
      <c r="C98" s="12">
        <f t="shared" ref="C98:C129" si="17">TIMEVALUE(VLOOKUP(A98,RData,2,0))</f>
        <v>0.33483796296296298</v>
      </c>
      <c r="D98" s="12">
        <f t="shared" ref="D98:D129" si="18">TIMEVALUE(VLOOKUP(A98,RData,3,0))</f>
        <v>6.6759259259259254E-2</v>
      </c>
      <c r="E98" s="12">
        <f t="shared" ref="E98:E129" si="19">TIMEVALUE(VLOOKUP(A98,VData,2,0))</f>
        <v>2.7685185185185188E-2</v>
      </c>
      <c r="F98">
        <f t="shared" ref="F98:F129" si="20">VLOOKUP(A98,PData,2,0)</f>
        <v>55</v>
      </c>
      <c r="G98" s="15">
        <f t="shared" ref="G98:G129" si="21">VLOOKUP(A98,RData,6,0)</f>
        <v>0.18938817836156199</v>
      </c>
    </row>
    <row r="99" spans="1:7" x14ac:dyDescent="0.25">
      <c r="A99" t="str">
        <f>Break!A99</f>
        <v>Del_Rashmi Gajbe (1008609)</v>
      </c>
      <c r="B99" s="21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2.5833333333333333E-2</v>
      </c>
      <c r="F99">
        <f t="shared" si="20"/>
        <v>56</v>
      </c>
      <c r="G99" s="15">
        <f t="shared" si="21"/>
        <v>0.47077424938419499</v>
      </c>
    </row>
    <row r="100" spans="1:7" x14ac:dyDescent="0.25">
      <c r="A100" t="str">
        <f>Break!A100</f>
        <v>Del_Ravi Kumar (1008610)</v>
      </c>
      <c r="B100" s="21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2.7569444444444448E-2</v>
      </c>
      <c r="F100">
        <f t="shared" si="20"/>
        <v>57</v>
      </c>
      <c r="G100" s="15">
        <f t="shared" si="21"/>
        <v>0.53862155040909698</v>
      </c>
    </row>
    <row r="101" spans="1:7" x14ac:dyDescent="0.25">
      <c r="A101" t="str">
        <f>Break!A101</f>
        <v>Del_Ravinder Kaur (1008611)</v>
      </c>
      <c r="B101" s="2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2.6678240740740738E-2</v>
      </c>
      <c r="F101">
        <f t="shared" si="20"/>
        <v>58</v>
      </c>
      <c r="G101" s="15">
        <f t="shared" si="21"/>
        <v>0.53294365856189296</v>
      </c>
    </row>
    <row r="102" spans="1:7" x14ac:dyDescent="0.25">
      <c r="A102" t="str">
        <f>Break!A102</f>
        <v>Del_Rekha Agarwal (1008612)</v>
      </c>
      <c r="B102" s="21" t="str">
        <f t="shared" si="16"/>
        <v>Rekha Agarwal</v>
      </c>
      <c r="C102" s="12">
        <f t="shared" si="17"/>
        <v>0.24574074074074073</v>
      </c>
      <c r="D102" s="12">
        <f t="shared" si="18"/>
        <v>0.1202199074074074</v>
      </c>
      <c r="E102" s="12">
        <f t="shared" si="19"/>
        <v>1.4884259259259259E-2</v>
      </c>
      <c r="F102">
        <f t="shared" si="20"/>
        <v>59</v>
      </c>
      <c r="G102" s="15">
        <f t="shared" si="21"/>
        <v>0.41310286360211002</v>
      </c>
    </row>
    <row r="103" spans="1:7" x14ac:dyDescent="0.25">
      <c r="A103" t="str">
        <f>Break!A103</f>
        <v>Del_Rekha Gupta (1008613)</v>
      </c>
      <c r="B103" s="21" t="str">
        <f t="shared" si="16"/>
        <v>Rekha Gupta</v>
      </c>
      <c r="C103" s="12">
        <f t="shared" si="17"/>
        <v>0.34446759259259263</v>
      </c>
      <c r="D103" s="12">
        <f t="shared" si="18"/>
        <v>0.18254629629629629</v>
      </c>
      <c r="E103" s="12">
        <f t="shared" si="19"/>
        <v>2.7708333333333331E-2</v>
      </c>
      <c r="F103">
        <f t="shared" si="20"/>
        <v>60</v>
      </c>
      <c r="G103" s="15">
        <f t="shared" si="21"/>
        <v>0.50483838451717</v>
      </c>
    </row>
    <row r="104" spans="1:7" x14ac:dyDescent="0.25">
      <c r="A104" t="str">
        <f>Break!A104</f>
        <v>Del_Rekha Jain  (1008614)</v>
      </c>
      <c r="B104" s="21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2.6099537037037036E-2</v>
      </c>
      <c r="F104">
        <f t="shared" si="20"/>
        <v>61</v>
      </c>
      <c r="G104" s="15">
        <f t="shared" si="21"/>
        <v>0.52390558805729304</v>
      </c>
    </row>
    <row r="105" spans="1:7" x14ac:dyDescent="0.25">
      <c r="A105" t="str">
        <f>Break!A105</f>
        <v>Del_Renu Pratap (1008615)</v>
      </c>
      <c r="B105" s="21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2.6446759259259264E-2</v>
      </c>
      <c r="F105">
        <f t="shared" si="20"/>
        <v>62</v>
      </c>
      <c r="G105" s="15">
        <f t="shared" si="21"/>
        <v>0.25444780127559602</v>
      </c>
    </row>
    <row r="106" spans="1:7" x14ac:dyDescent="0.25">
      <c r="A106" t="str">
        <f>Break!A106</f>
        <v>Del_Ritu Bhatnagar (1008616)</v>
      </c>
      <c r="B106" s="21" t="str">
        <f t="shared" si="16"/>
        <v>Ritu Bhatnagar</v>
      </c>
      <c r="C106" s="12">
        <f t="shared" si="17"/>
        <v>0.33458333333333329</v>
      </c>
      <c r="D106" s="12">
        <f t="shared" si="18"/>
        <v>0.20292824074074076</v>
      </c>
      <c r="E106" s="12">
        <f t="shared" si="19"/>
        <v>2.9502314814814815E-2</v>
      </c>
      <c r="F106">
        <f t="shared" si="20"/>
        <v>63</v>
      </c>
      <c r="G106" s="15">
        <f t="shared" si="21"/>
        <v>0.55517503805174995</v>
      </c>
    </row>
    <row r="107" spans="1:7" x14ac:dyDescent="0.25">
      <c r="A107" t="str">
        <f>Break!A107</f>
        <v>Del_Rohit Nishchal (1008617)</v>
      </c>
      <c r="B107" s="21" t="str">
        <f t="shared" si="16"/>
        <v>Rohit Nishchal</v>
      </c>
      <c r="C107" s="12">
        <f t="shared" si="17"/>
        <v>0.34524305555555551</v>
      </c>
      <c r="D107" s="12" t="e">
        <f t="shared" si="18"/>
        <v>#VALUE!</v>
      </c>
      <c r="E107" s="12">
        <f t="shared" si="19"/>
        <v>2.7754629629629629E-2</v>
      </c>
      <c r="F107">
        <f t="shared" si="20"/>
        <v>64</v>
      </c>
      <c r="G107" s="15">
        <f t="shared" si="21"/>
        <v>0</v>
      </c>
    </row>
    <row r="108" spans="1:7" x14ac:dyDescent="0.25">
      <c r="A108" t="str">
        <f>Break!A108</f>
        <v>Del_Roli Bhatnagar (1008618)</v>
      </c>
      <c r="B108" s="21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2.7604166666666666E-2</v>
      </c>
      <c r="F108">
        <f t="shared" si="20"/>
        <v>65</v>
      </c>
      <c r="G108" s="15">
        <f t="shared" si="21"/>
        <v>0.477120667047709</v>
      </c>
    </row>
    <row r="109" spans="1:7" x14ac:dyDescent="0.25">
      <c r="A109" t="str">
        <f>Break!A109</f>
        <v>Del_Roma Rastogi (1008619)</v>
      </c>
      <c r="B109" s="21" t="str">
        <f t="shared" si="16"/>
        <v>Roma Rastogi</v>
      </c>
      <c r="C109" s="12">
        <f t="shared" si="17"/>
        <v>0.35488425925925932</v>
      </c>
      <c r="D109" s="12">
        <f t="shared" si="18"/>
        <v>0.23307870370370373</v>
      </c>
      <c r="E109" s="12">
        <f t="shared" si="19"/>
        <v>1.9444444444444445E-2</v>
      </c>
      <c r="F109">
        <f t="shared" si="20"/>
        <v>66</v>
      </c>
      <c r="G109" s="15">
        <f t="shared" si="21"/>
        <v>0.61917030852521004</v>
      </c>
    </row>
    <row r="110" spans="1:7" x14ac:dyDescent="0.25">
      <c r="A110" t="str">
        <f>Break!A110</f>
        <v>Del_Roohi Haider (1008620)</v>
      </c>
      <c r="B110" s="21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2.7199074074074073E-2</v>
      </c>
      <c r="F110">
        <f t="shared" si="20"/>
        <v>67</v>
      </c>
      <c r="G110" s="15">
        <f t="shared" si="21"/>
        <v>0.55305265350039901</v>
      </c>
    </row>
    <row r="111" spans="1:7" x14ac:dyDescent="0.25">
      <c r="A111" t="str">
        <f>Break!A111</f>
        <v>Del_Sajid Naqvi (1008621)</v>
      </c>
      <c r="B111" s="21" t="str">
        <f t="shared" si="16"/>
        <v>Sajid Naqvi</v>
      </c>
      <c r="C111" s="12">
        <f t="shared" si="17"/>
        <v>0.34430555555555559</v>
      </c>
      <c r="D111" s="12">
        <f t="shared" si="18"/>
        <v>0.20876157407407406</v>
      </c>
      <c r="E111" s="12">
        <f t="shared" si="19"/>
        <v>2.8333333333333332E-2</v>
      </c>
      <c r="F111">
        <f t="shared" si="20"/>
        <v>68</v>
      </c>
      <c r="G111" s="15">
        <f t="shared" si="21"/>
        <v>0.56195374478956595</v>
      </c>
    </row>
    <row r="112" spans="1:7" x14ac:dyDescent="0.25">
      <c r="A112" t="str">
        <f>Break!A112</f>
        <v>Del_Salim (1008622)</v>
      </c>
      <c r="B112" s="21" t="str">
        <f t="shared" si="16"/>
        <v>Salim</v>
      </c>
      <c r="C112" s="12">
        <f t="shared" si="17"/>
        <v>0.34439814814814818</v>
      </c>
      <c r="D112" s="12">
        <f t="shared" si="18"/>
        <v>0.19284722222222225</v>
      </c>
      <c r="E112" s="12">
        <f t="shared" si="19"/>
        <v>2.7650462962962963E-2</v>
      </c>
      <c r="F112">
        <f t="shared" si="20"/>
        <v>69</v>
      </c>
      <c r="G112" s="15">
        <f t="shared" si="21"/>
        <v>0.48780077967468699</v>
      </c>
    </row>
    <row r="113" spans="1:7" x14ac:dyDescent="0.25">
      <c r="A113" t="str">
        <f>Break!A113</f>
        <v>Del_Sanjay Hire (1008623)</v>
      </c>
      <c r="B113" s="21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2.7268518518518515E-2</v>
      </c>
      <c r="F113">
        <f t="shared" si="20"/>
        <v>70</v>
      </c>
      <c r="G113" s="15">
        <f t="shared" si="21"/>
        <v>0.55414762032804499</v>
      </c>
    </row>
    <row r="114" spans="1:7" x14ac:dyDescent="0.25">
      <c r="A114" t="str">
        <f>Break!A114</f>
        <v>Del_Sanjiv Subherwal (1008624)</v>
      </c>
      <c r="B114" s="21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2.7870370370370368E-2</v>
      </c>
      <c r="F114">
        <f t="shared" si="20"/>
        <v>71</v>
      </c>
      <c r="G114" s="15">
        <f t="shared" si="21"/>
        <v>0.58651553374572396</v>
      </c>
    </row>
    <row r="115" spans="1:7" x14ac:dyDescent="0.25">
      <c r="A115" t="str">
        <f>Break!A115</f>
        <v>Del_Sanju Ramdas (1008625)</v>
      </c>
      <c r="B115" s="21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2.7627314814814813E-2</v>
      </c>
      <c r="F115">
        <f t="shared" si="20"/>
        <v>72</v>
      </c>
      <c r="G115" s="15">
        <f t="shared" si="21"/>
        <v>0.58165871362322696</v>
      </c>
    </row>
    <row r="116" spans="1:7" x14ac:dyDescent="0.25">
      <c r="A116" t="str">
        <f>Break!A116</f>
        <v>Del_Santosh Kumar (1008626)</v>
      </c>
      <c r="B116" s="21" t="str">
        <f t="shared" si="16"/>
        <v>Santosh Kumar</v>
      </c>
      <c r="C116" s="12">
        <f t="shared" si="17"/>
        <v>0.33370370370370367</v>
      </c>
      <c r="D116" s="12">
        <f t="shared" si="18"/>
        <v>0.21053240740740742</v>
      </c>
      <c r="E116" s="12">
        <f t="shared" si="19"/>
        <v>2.7685185185185188E-2</v>
      </c>
      <c r="F116">
        <f t="shared" si="20"/>
        <v>73</v>
      </c>
      <c r="G116" s="15">
        <f t="shared" si="21"/>
        <v>0.59073251942286398</v>
      </c>
    </row>
    <row r="117" spans="1:7" x14ac:dyDescent="0.25">
      <c r="A117" t="str">
        <f>Break!A117</f>
        <v>Del_Santosh Kumar (1008627)</v>
      </c>
      <c r="B117" s="21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2.7789351851851853E-2</v>
      </c>
      <c r="F117">
        <f t="shared" si="20"/>
        <v>74</v>
      </c>
      <c r="G117" s="15">
        <f t="shared" si="21"/>
        <v>0.58640692060085797</v>
      </c>
    </row>
    <row r="118" spans="1:7" x14ac:dyDescent="0.25">
      <c r="A118" t="str">
        <f>Break!A118</f>
        <v>Del_Santosh Kumar (1008628)</v>
      </c>
      <c r="B118" s="21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2.900462962962963E-2</v>
      </c>
      <c r="F118">
        <f t="shared" si="20"/>
        <v>75</v>
      </c>
      <c r="G118" s="15">
        <f t="shared" si="21"/>
        <v>0.54653369681493502</v>
      </c>
    </row>
    <row r="119" spans="1:7" x14ac:dyDescent="0.25">
      <c r="A119" t="str">
        <f>Break!A119</f>
        <v>Del_Sapna Sharma (1008629)</v>
      </c>
      <c r="B119" s="21" t="str">
        <f t="shared" si="16"/>
        <v>Sapna Sharma</v>
      </c>
      <c r="C119" s="12">
        <f t="shared" si="17"/>
        <v>0.33627314814814818</v>
      </c>
      <c r="D119" s="12">
        <f t="shared" si="18"/>
        <v>0.18991898148148148</v>
      </c>
      <c r="E119" s="12">
        <f t="shared" si="19"/>
        <v>2.6921296296296294E-2</v>
      </c>
      <c r="F119">
        <f t="shared" si="20"/>
        <v>76</v>
      </c>
      <c r="G119" s="15">
        <f t="shared" si="21"/>
        <v>0.53238796723342696</v>
      </c>
    </row>
    <row r="120" spans="1:7" x14ac:dyDescent="0.25">
      <c r="A120" t="str">
        <f>Break!A120</f>
        <v>Del_Saroj Parita (1008630)</v>
      </c>
      <c r="B120" s="21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2.9490740740740744E-2</v>
      </c>
      <c r="F120">
        <f t="shared" si="20"/>
        <v>77</v>
      </c>
      <c r="G120" s="15">
        <f t="shared" si="21"/>
        <v>0.47020989660776702</v>
      </c>
    </row>
    <row r="121" spans="1:7" x14ac:dyDescent="0.25">
      <c r="A121" t="str">
        <f>Break!A121</f>
        <v>Del_Shailaja Kamal (1008631)</v>
      </c>
      <c r="B121" s="21" t="str">
        <f t="shared" si="16"/>
        <v>Shailaja Kamal</v>
      </c>
      <c r="C121" s="12">
        <f t="shared" si="17"/>
        <v>0.33974537037037034</v>
      </c>
      <c r="D121" s="12">
        <f t="shared" si="18"/>
        <v>0.20261574074074074</v>
      </c>
      <c r="E121" s="12">
        <f t="shared" si="19"/>
        <v>2.6851851851851849E-2</v>
      </c>
      <c r="F121">
        <f t="shared" si="20"/>
        <v>78</v>
      </c>
      <c r="G121" s="15">
        <f t="shared" si="21"/>
        <v>0.54633099407235797</v>
      </c>
    </row>
    <row r="122" spans="1:7" x14ac:dyDescent="0.25">
      <c r="A122" t="str">
        <f>Break!A122</f>
        <v>Del_Shailendra Barge (1008632)</v>
      </c>
      <c r="B122" s="21" t="str">
        <f t="shared" si="16"/>
        <v>Shailendra Barge</v>
      </c>
      <c r="C122" s="12">
        <f t="shared" si="17"/>
        <v>0.34557870370370369</v>
      </c>
      <c r="D122" s="12">
        <f t="shared" si="18"/>
        <v>0.1431597222222222</v>
      </c>
      <c r="E122" s="12">
        <f t="shared" si="19"/>
        <v>2.7546296296296294E-2</v>
      </c>
      <c r="F122">
        <f t="shared" si="20"/>
        <v>79</v>
      </c>
      <c r="G122" s="15">
        <f t="shared" si="21"/>
        <v>0.38820416638756799</v>
      </c>
    </row>
    <row r="123" spans="1:7" x14ac:dyDescent="0.25">
      <c r="A123" t="str">
        <f>Break!A123</f>
        <v>Del_Shankar Attendant (1008633)</v>
      </c>
      <c r="B123" s="21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2.736111111111111E-2</v>
      </c>
      <c r="F123">
        <f t="shared" si="20"/>
        <v>80</v>
      </c>
      <c r="G123" s="15">
        <f t="shared" si="21"/>
        <v>0.40277584042404802</v>
      </c>
    </row>
    <row r="124" spans="1:7" x14ac:dyDescent="0.25">
      <c r="A124" t="str">
        <f>Break!A124</f>
        <v>Del_Shashikant Tiwari (1008634)</v>
      </c>
      <c r="B124" s="21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2.736111111111111E-2</v>
      </c>
      <c r="F124">
        <f t="shared" si="20"/>
        <v>81</v>
      </c>
      <c r="G124" s="15">
        <f t="shared" si="21"/>
        <v>0.54352584610203702</v>
      </c>
    </row>
    <row r="125" spans="1:7" x14ac:dyDescent="0.25">
      <c r="A125" t="str">
        <f>Break!A125</f>
        <v>Del_Sheeba Joseph (1008635)</v>
      </c>
      <c r="B125" s="21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2.4594907407407409E-2</v>
      </c>
      <c r="F125">
        <f t="shared" si="20"/>
        <v>82</v>
      </c>
      <c r="G125" s="15">
        <f t="shared" si="21"/>
        <v>0.28371986821932998</v>
      </c>
    </row>
    <row r="126" spans="1:7" x14ac:dyDescent="0.25">
      <c r="A126" t="str">
        <f>Break!A126</f>
        <v>Del_Sheena Joseph (1008636)</v>
      </c>
      <c r="B126" s="21" t="str">
        <f t="shared" si="16"/>
        <v>Sheena Joseph</v>
      </c>
      <c r="C126" s="12">
        <f t="shared" si="17"/>
        <v>0.36775462962962963</v>
      </c>
      <c r="D126" s="12">
        <f t="shared" si="18"/>
        <v>0.21557870370370369</v>
      </c>
      <c r="E126" s="12">
        <f t="shared" si="19"/>
        <v>2.8587962962962964E-2</v>
      </c>
      <c r="F126">
        <f t="shared" si="20"/>
        <v>83</v>
      </c>
      <c r="G126" s="15">
        <f t="shared" si="21"/>
        <v>0.56196890539434796</v>
      </c>
    </row>
    <row r="127" spans="1:7" x14ac:dyDescent="0.25">
      <c r="A127" t="str">
        <f>Break!A127</f>
        <v>Del_Shephali Jain (1008637)</v>
      </c>
      <c r="B127" s="21" t="str">
        <f t="shared" si="16"/>
        <v>Shephali Jain</v>
      </c>
      <c r="C127" s="12">
        <f t="shared" si="17"/>
        <v>0.35119212962962965</v>
      </c>
      <c r="D127" s="12">
        <f t="shared" si="18"/>
        <v>0.15380787037037039</v>
      </c>
      <c r="E127" s="12">
        <f t="shared" si="19"/>
        <v>2.7534722222222221E-2</v>
      </c>
      <c r="F127">
        <f t="shared" si="20"/>
        <v>84</v>
      </c>
      <c r="G127" s="15">
        <f t="shared" si="21"/>
        <v>0.40332201825791802</v>
      </c>
    </row>
    <row r="128" spans="1:7" x14ac:dyDescent="0.25">
      <c r="A128" t="str">
        <f>Break!A128</f>
        <v>Del_Shivji Prasad (1008638)</v>
      </c>
      <c r="B128" s="21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2.736111111111111E-2</v>
      </c>
      <c r="F128">
        <f t="shared" si="20"/>
        <v>85</v>
      </c>
      <c r="G128" s="15">
        <f t="shared" si="21"/>
        <v>0.43796610169491501</v>
      </c>
    </row>
    <row r="129" spans="1:7" x14ac:dyDescent="0.25">
      <c r="A129" t="str">
        <f>Break!A129</f>
        <v>Del_Shubhanjali Joshi (1008639)</v>
      </c>
      <c r="B129" s="21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2.7430555555555555E-2</v>
      </c>
      <c r="F129">
        <f t="shared" si="20"/>
        <v>86</v>
      </c>
      <c r="G129" s="15">
        <f t="shared" si="21"/>
        <v>0.55581995508931903</v>
      </c>
    </row>
    <row r="130" spans="1:7" x14ac:dyDescent="0.25">
      <c r="A130" t="str">
        <f>Break!A130</f>
        <v>Del_Shyamal Malakar (1008640)</v>
      </c>
      <c r="B130" s="21" t="str">
        <f t="shared" si="16"/>
        <v>Shyamal Malakar</v>
      </c>
      <c r="C130" s="12">
        <f t="shared" ref="C130:C150" si="22">TIMEVALUE(VLOOKUP(A130,RData,2,0))</f>
        <v>0.34416666666666668</v>
      </c>
      <c r="D130" s="12">
        <f t="shared" ref="D130:D150" si="23">TIMEVALUE(VLOOKUP(A130,RData,3,0))</f>
        <v>0.12054398148148149</v>
      </c>
      <c r="E130" s="12">
        <f t="shared" ref="E130:E150" si="24">TIMEVALUE(VLOOKUP(A130,VData,2,0))</f>
        <v>2.7407407407407408E-2</v>
      </c>
      <c r="F130">
        <f t="shared" ref="F130:F150" si="25">VLOOKUP(A130,PData,2,0)</f>
        <v>87</v>
      </c>
      <c r="G130" s="15">
        <f t="shared" ref="G130:G150" si="26">VLOOKUP(A130,RData,6,0)</f>
        <v>0.326035781544256</v>
      </c>
    </row>
    <row r="131" spans="1:7" x14ac:dyDescent="0.25">
      <c r="A131" t="str">
        <f>Break!A131</f>
        <v>Del_Sneh Khan (1008641)</v>
      </c>
      <c r="B131" s="2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2.7650462962962963E-2</v>
      </c>
      <c r="F131">
        <f t="shared" si="25"/>
        <v>88</v>
      </c>
      <c r="G131" s="15">
        <f t="shared" si="26"/>
        <v>0.57404190086867701</v>
      </c>
    </row>
    <row r="132" spans="1:7" x14ac:dyDescent="0.25">
      <c r="A132" t="str">
        <f>Break!A132</f>
        <v>Del_Sonaram Munda (1008642)</v>
      </c>
      <c r="B132" s="21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2.763888888888889E-2</v>
      </c>
      <c r="F132">
        <f t="shared" si="25"/>
        <v>89</v>
      </c>
      <c r="G132" s="15">
        <f t="shared" si="26"/>
        <v>0.45359037481363301</v>
      </c>
    </row>
    <row r="133" spans="1:7" x14ac:dyDescent="0.25">
      <c r="A133" t="str">
        <f>Break!A133</f>
        <v>Del_Sudama Kumar (1008643)</v>
      </c>
      <c r="B133" s="21" t="str">
        <f t="shared" si="27"/>
        <v>Sudama Kumar</v>
      </c>
      <c r="C133" s="12">
        <f t="shared" si="22"/>
        <v>0.34012731481481479</v>
      </c>
      <c r="D133" s="12">
        <f t="shared" si="23"/>
        <v>0.11028935185185185</v>
      </c>
      <c r="E133" s="12">
        <f t="shared" si="24"/>
        <v>2.7141203703703706E-2</v>
      </c>
      <c r="F133">
        <f t="shared" si="25"/>
        <v>90</v>
      </c>
      <c r="G133" s="15">
        <f t="shared" si="26"/>
        <v>0.29689998979140397</v>
      </c>
    </row>
    <row r="134" spans="1:7" x14ac:dyDescent="0.25">
      <c r="A134" t="str">
        <f>Break!A134</f>
        <v>Del_Sudhir Kumar (1008644)</v>
      </c>
      <c r="B134" s="21" t="str">
        <f t="shared" si="27"/>
        <v>Sudhir Kumar</v>
      </c>
      <c r="C134" s="12">
        <f t="shared" si="22"/>
        <v>0.33354166666666668</v>
      </c>
      <c r="D134" s="12">
        <f t="shared" si="23"/>
        <v>0.19138888888888891</v>
      </c>
      <c r="E134" s="12">
        <f t="shared" si="24"/>
        <v>3.0173611111111113E-2</v>
      </c>
      <c r="F134">
        <f t="shared" si="25"/>
        <v>91</v>
      </c>
      <c r="G134" s="15">
        <f t="shared" si="26"/>
        <v>0.55729058227496697</v>
      </c>
    </row>
    <row r="135" spans="1:7" x14ac:dyDescent="0.25">
      <c r="A135" t="str">
        <f>Break!A135</f>
        <v>Del_Sunil Kumar (1008645)</v>
      </c>
      <c r="B135" s="21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2.7881944444444445E-2</v>
      </c>
      <c r="F135">
        <f t="shared" si="25"/>
        <v>92</v>
      </c>
      <c r="G135" s="15">
        <f t="shared" si="26"/>
        <v>0.33279321519685601</v>
      </c>
    </row>
    <row r="136" spans="1:7" x14ac:dyDescent="0.25">
      <c r="A136" t="str">
        <f>Break!A136</f>
        <v>Del_Sunil Kumar (1008646)</v>
      </c>
      <c r="B136" s="21" t="str">
        <f t="shared" si="27"/>
        <v>Sunil Kumar</v>
      </c>
      <c r="C136" s="12">
        <f t="shared" si="22"/>
        <v>0.33687500000000004</v>
      </c>
      <c r="D136" s="12">
        <f t="shared" si="23"/>
        <v>0.17017361111111109</v>
      </c>
      <c r="E136" s="12">
        <f t="shared" si="24"/>
        <v>2.4513888888888887E-2</v>
      </c>
      <c r="F136">
        <f t="shared" si="25"/>
        <v>93</v>
      </c>
      <c r="G136" s="15">
        <f t="shared" si="26"/>
        <v>0.472308115165258</v>
      </c>
    </row>
    <row r="137" spans="1:7" x14ac:dyDescent="0.25">
      <c r="A137" t="str">
        <f>Break!A137</f>
        <v>Del_Sunita Chawla (1008647)</v>
      </c>
      <c r="B137" s="21" t="str">
        <f t="shared" si="27"/>
        <v>Sunita Chawla</v>
      </c>
      <c r="C137" s="12">
        <f t="shared" si="22"/>
        <v>0.33709490740740744</v>
      </c>
      <c r="D137" s="12">
        <f t="shared" si="23"/>
        <v>0.18885416666666666</v>
      </c>
      <c r="E137" s="12">
        <f t="shared" si="24"/>
        <v>2.78125E-2</v>
      </c>
      <c r="F137">
        <f t="shared" si="25"/>
        <v>94</v>
      </c>
      <c r="G137" s="15">
        <f t="shared" si="26"/>
        <v>0.51110729613733896</v>
      </c>
    </row>
    <row r="138" spans="1:7" x14ac:dyDescent="0.25">
      <c r="A138" t="str">
        <f>Break!A138</f>
        <v>Del_Sunita Madnani (1008648)</v>
      </c>
      <c r="B138" s="21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2.7951388888888887E-2</v>
      </c>
      <c r="F138">
        <f t="shared" si="25"/>
        <v>95</v>
      </c>
      <c r="G138" s="15">
        <f t="shared" si="26"/>
        <v>0.58886040078267299</v>
      </c>
    </row>
    <row r="139" spans="1:7" x14ac:dyDescent="0.25">
      <c r="A139" t="str">
        <f>Break!A139</f>
        <v>Del_Surendra Kumar (1008649)</v>
      </c>
      <c r="B139" s="21" t="str">
        <f t="shared" si="27"/>
        <v>Surendra Kumar</v>
      </c>
      <c r="C139" s="12">
        <f t="shared" si="22"/>
        <v>0.31192129629629628</v>
      </c>
      <c r="D139" s="12">
        <f t="shared" si="23"/>
        <v>0.12112268518518519</v>
      </c>
      <c r="E139" s="12">
        <f t="shared" si="24"/>
        <v>0</v>
      </c>
      <c r="F139">
        <f t="shared" si="25"/>
        <v>96</v>
      </c>
      <c r="G139" s="15">
        <f t="shared" si="26"/>
        <v>0.34289424860853401</v>
      </c>
    </row>
    <row r="140" spans="1:7" x14ac:dyDescent="0.25">
      <c r="A140" t="str">
        <f>Break!A140</f>
        <v>Del_Surendranath Thakur (1008650)</v>
      </c>
      <c r="B140" s="21" t="str">
        <f t="shared" si="27"/>
        <v>Surendranath Thakur</v>
      </c>
      <c r="C140" s="12">
        <f t="shared" si="22"/>
        <v>0.35686342592592596</v>
      </c>
      <c r="D140" s="12">
        <f t="shared" si="23"/>
        <v>0.19224537037037037</v>
      </c>
      <c r="E140" s="12">
        <f t="shared" si="24"/>
        <v>2.7569444444444448E-2</v>
      </c>
      <c r="F140">
        <f t="shared" si="25"/>
        <v>97</v>
      </c>
      <c r="G140" s="15">
        <f t="shared" si="26"/>
        <v>0.497486459313074</v>
      </c>
    </row>
    <row r="141" spans="1:7" x14ac:dyDescent="0.25">
      <c r="A141" t="str">
        <f>Break!A141</f>
        <v>Del_Sushma Khandelwal (1008651)</v>
      </c>
      <c r="B141" s="21" t="str">
        <f t="shared" si="27"/>
        <v>Sushma Khandelwal</v>
      </c>
      <c r="C141" s="12">
        <f t="shared" si="22"/>
        <v>0.34392361111111108</v>
      </c>
      <c r="D141" s="12">
        <f t="shared" si="23"/>
        <v>0.20146990740740742</v>
      </c>
      <c r="E141" s="12">
        <f t="shared" si="24"/>
        <v>2.7893518518518515E-2</v>
      </c>
      <c r="F141">
        <f t="shared" si="25"/>
        <v>98</v>
      </c>
      <c r="G141" s="15">
        <f t="shared" si="26"/>
        <v>0.52431431936732298</v>
      </c>
    </row>
    <row r="142" spans="1:7" x14ac:dyDescent="0.25">
      <c r="A142" t="str">
        <f>Break!A142</f>
        <v>Del_Swarnlata Borse (1008652)</v>
      </c>
      <c r="B142" s="21" t="str">
        <f t="shared" si="27"/>
        <v>Swarnlata Borse</v>
      </c>
      <c r="C142" s="12">
        <f t="shared" si="22"/>
        <v>0.34658564814814818</v>
      </c>
      <c r="D142" s="12">
        <f t="shared" si="23"/>
        <v>0.12475694444444445</v>
      </c>
      <c r="E142" s="12">
        <f t="shared" si="24"/>
        <v>2.7337962962962963E-2</v>
      </c>
      <c r="F142">
        <f t="shared" si="25"/>
        <v>99</v>
      </c>
      <c r="G142" s="15">
        <f t="shared" si="26"/>
        <v>0.31066956086157999</v>
      </c>
    </row>
    <row r="143" spans="1:7" x14ac:dyDescent="0.25">
      <c r="A143" t="str">
        <f>Break!A143</f>
        <v>Del_Syed Naved (1008653)</v>
      </c>
      <c r="B143" s="21" t="str">
        <f t="shared" si="27"/>
        <v>Syed Naved</v>
      </c>
      <c r="C143" s="12">
        <f t="shared" si="22"/>
        <v>0.34281249999999996</v>
      </c>
      <c r="D143" s="12">
        <f t="shared" si="23"/>
        <v>0.22505787037037037</v>
      </c>
      <c r="E143" s="12">
        <f t="shared" si="24"/>
        <v>2.4120370370370372E-2</v>
      </c>
      <c r="F143">
        <f t="shared" si="25"/>
        <v>100</v>
      </c>
      <c r="G143" s="15">
        <f t="shared" si="26"/>
        <v>0.58462473412336702</v>
      </c>
    </row>
    <row r="144" spans="1:7" x14ac:dyDescent="0.25">
      <c r="A144" t="str">
        <f>Break!A144</f>
        <v>Del_Syed Saqib (1008654)</v>
      </c>
      <c r="B144" s="21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2.6261574074074076E-2</v>
      </c>
      <c r="F144">
        <f t="shared" si="25"/>
        <v>101</v>
      </c>
      <c r="G144" s="15">
        <f t="shared" si="26"/>
        <v>0.31685816164817698</v>
      </c>
    </row>
    <row r="145" spans="1:7" x14ac:dyDescent="0.25">
      <c r="A145" t="str">
        <f>Break!A145</f>
        <v>Del_Syed Sohail (1008655)</v>
      </c>
      <c r="B145" s="21" t="str">
        <f t="shared" si="27"/>
        <v>Syed Sohail</v>
      </c>
      <c r="C145" s="12">
        <f t="shared" si="22"/>
        <v>0.34575231481481478</v>
      </c>
      <c r="D145" s="12">
        <f t="shared" si="23"/>
        <v>0.20268518518518519</v>
      </c>
      <c r="E145" s="12">
        <f t="shared" si="24"/>
        <v>2.7604166666666666E-2</v>
      </c>
      <c r="F145">
        <f t="shared" si="25"/>
        <v>102</v>
      </c>
      <c r="G145" s="15">
        <f t="shared" si="26"/>
        <v>0.56375322197301903</v>
      </c>
    </row>
    <row r="146" spans="1:7" x14ac:dyDescent="0.25">
      <c r="A146" t="str">
        <f>Break!A146</f>
        <v>Del_System Operator (1008656)</v>
      </c>
      <c r="B146" s="21" t="str">
        <f t="shared" si="27"/>
        <v>System Operator</v>
      </c>
      <c r="C146" s="12">
        <f t="shared" si="22"/>
        <v>0.35479166666666667</v>
      </c>
      <c r="D146" s="12">
        <f t="shared" si="23"/>
        <v>0.21916666666666665</v>
      </c>
      <c r="E146" s="12">
        <f t="shared" si="24"/>
        <v>2.7777777777777776E-2</v>
      </c>
      <c r="F146">
        <f t="shared" si="25"/>
        <v>103</v>
      </c>
      <c r="G146" s="15">
        <f t="shared" si="26"/>
        <v>0.54779147908918902</v>
      </c>
    </row>
    <row r="147" spans="1:7" x14ac:dyDescent="0.25">
      <c r="A147" t="str">
        <f>Break!A147</f>
        <v>Del_Tahira Qureshi (1008657)</v>
      </c>
      <c r="B147" s="21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3.0208333333333334E-2</v>
      </c>
      <c r="F147">
        <f t="shared" si="25"/>
        <v>104</v>
      </c>
      <c r="G147" s="15">
        <f t="shared" si="26"/>
        <v>0.37965983593576802</v>
      </c>
    </row>
    <row r="148" spans="1:7" x14ac:dyDescent="0.25">
      <c r="A148" t="str">
        <f>Break!A148</f>
        <v>Del_Tapas Chakraborty (1008658)</v>
      </c>
      <c r="B148" s="21" t="str">
        <f t="shared" si="27"/>
        <v>Tapas Chakraborty</v>
      </c>
      <c r="C148" s="12">
        <f t="shared" si="22"/>
        <v>0.34370370370370368</v>
      </c>
      <c r="D148" s="12">
        <f t="shared" si="23"/>
        <v>0.21891203703703702</v>
      </c>
      <c r="E148" s="12">
        <f t="shared" si="24"/>
        <v>2.3692129629629629E-2</v>
      </c>
      <c r="F148">
        <f t="shared" si="25"/>
        <v>105</v>
      </c>
      <c r="G148" s="15">
        <f t="shared" si="26"/>
        <v>0.56529498922413801</v>
      </c>
    </row>
    <row r="149" spans="1:7" x14ac:dyDescent="0.25">
      <c r="A149" t="str">
        <f>Break!A149</f>
        <v>Del_Tariq Akhlaq (1008659)</v>
      </c>
      <c r="B149" s="21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0</v>
      </c>
      <c r="F149">
        <f t="shared" si="25"/>
        <v>106</v>
      </c>
      <c r="G149" s="15">
        <f t="shared" si="26"/>
        <v>0.60261183662128404</v>
      </c>
    </row>
    <row r="150" spans="1:7" x14ac:dyDescent="0.25">
      <c r="A150" t="str">
        <f>Break!A150</f>
        <v>Del_Tasneem Khan (1008660)</v>
      </c>
      <c r="B150" s="21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2.7847222222222221E-2</v>
      </c>
      <c r="F150">
        <f t="shared" si="25"/>
        <v>107</v>
      </c>
      <c r="G150" s="15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6"/>
  <sheetViews>
    <sheetView tabSelected="1" workbookViewId="0">
      <selection activeCell="J15" sqref="J15"/>
    </sheetView>
  </sheetViews>
  <sheetFormatPr defaultRowHeight="15" x14ac:dyDescent="0.25"/>
  <cols>
    <col min="1" max="1" width="14.28515625" customWidth="1"/>
    <col min="2" max="2" width="35.140625" bestFit="1" customWidth="1"/>
  </cols>
  <sheetData>
    <row r="1" spans="1:8" x14ac:dyDescent="0.25">
      <c r="A1" s="26"/>
      <c r="B1" s="26"/>
      <c r="C1" s="22">
        <v>6</v>
      </c>
    </row>
    <row r="2" spans="1:8" x14ac:dyDescent="0.25">
      <c r="A2" s="26"/>
      <c r="B2" s="26"/>
    </row>
    <row r="3" spans="1:8" ht="21.75" customHeight="1" x14ac:dyDescent="0.25">
      <c r="A3" s="24" t="s">
        <v>1004</v>
      </c>
      <c r="B3" s="25"/>
    </row>
    <row r="4" spans="1:8" x14ac:dyDescent="0.25">
      <c r="A4" s="13" t="s">
        <v>1003</v>
      </c>
      <c r="B4" t="s">
        <v>1005</v>
      </c>
    </row>
    <row r="5" spans="1:8" x14ac:dyDescent="0.25">
      <c r="A5" s="14" t="s">
        <v>1007</v>
      </c>
      <c r="B5" s="12">
        <v>0.34424768518518517</v>
      </c>
    </row>
    <row r="6" spans="1:8" x14ac:dyDescent="0.25">
      <c r="A6" s="14" t="s">
        <v>1008</v>
      </c>
      <c r="B6" s="12">
        <v>0.34416666666666668</v>
      </c>
    </row>
    <row r="7" spans="1:8" x14ac:dyDescent="0.25">
      <c r="A7" s="14" t="s">
        <v>1006</v>
      </c>
      <c r="B7" s="12">
        <v>0.34510416666666671</v>
      </c>
    </row>
    <row r="8" spans="1:8" x14ac:dyDescent="0.25">
      <c r="A8" s="14" t="s">
        <v>1009</v>
      </c>
      <c r="B8" s="12">
        <v>0.34023148148148147</v>
      </c>
    </row>
    <row r="9" spans="1:8" x14ac:dyDescent="0.25">
      <c r="A9" s="14" t="s">
        <v>1010</v>
      </c>
      <c r="B9" s="12">
        <v>0.30603009259259256</v>
      </c>
    </row>
    <row r="10" spans="1:8" x14ac:dyDescent="0.25">
      <c r="A10" s="14" t="s">
        <v>1011</v>
      </c>
      <c r="B10" s="12">
        <v>0.20843750000000003</v>
      </c>
    </row>
    <row r="16" spans="1:8" x14ac:dyDescent="0.25">
      <c r="F16" s="23"/>
      <c r="G16" s="23"/>
      <c r="H16" s="23"/>
    </row>
  </sheetData>
  <mergeCells count="3">
    <mergeCell ref="F16:H16"/>
    <mergeCell ref="A3:B3"/>
    <mergeCell ref="A1:B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5" name="Spinner 2">
              <controlPr defaultSize="0" autoPict="0" macro="[1]!Spinner2_Code">
                <anchor moveWithCells="1" sizeWithCells="1">
                  <from>
                    <xdr:col>1</xdr:col>
                    <xdr:colOff>790575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Break</vt:lpstr>
      <vt:lpstr>Efficiency</vt:lpstr>
      <vt:lpstr>OverAll Performance</vt:lpstr>
      <vt:lpstr>Summary</vt:lpstr>
      <vt:lpstr>Dashboard</vt:lpstr>
      <vt:lpstr>_Data</vt:lpstr>
      <vt:lpstr>BData</vt:lpstr>
      <vt:lpstr>EData</vt:lpstr>
      <vt:lpstr>PData</vt:lpstr>
      <vt:lpstr>RData</vt:lpstr>
      <vt:lpstr>VData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2022-05-04T01:32:35Z</dcterms:created>
  <dcterms:modified xsi:type="dcterms:W3CDTF">2026-08-30T12:45:29Z</dcterms:modified>
</cp:coreProperties>
</file>